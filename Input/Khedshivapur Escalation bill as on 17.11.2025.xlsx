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d0fa1ea74e5ac14/Desktop/Escalation Bill/Escalation Bill Khedshivapur/"/>
    </mc:Choice>
  </mc:AlternateContent>
  <xr:revisionPtr revIDLastSave="4" documentId="11_2CE436882D10458FD88DB7F94BBB123B75929ECF" xr6:coauthVersionLast="47" xr6:coauthVersionMax="47" xr10:uidLastSave="{C9DE9EC2-6BCA-40F5-9DAB-95A1C06753BA}"/>
  <bookViews>
    <workbookView xWindow="-110" yWindow="-110" windowWidth="19420" windowHeight="10420" tabRatio="781" xr2:uid="{00000000-000D-0000-FFFF-FFFF00000000}"/>
  </bookViews>
  <sheets>
    <sheet name="Detailed Info" sheetId="40" r:id="rId1"/>
    <sheet name="Summary" sheetId="16" r:id="rId2"/>
    <sheet name="Labour" sheetId="14" r:id="rId3"/>
    <sheet name="Other material " sheetId="18" r:id="rId4"/>
    <sheet name="P.O.L" sheetId="15" r:id="rId5"/>
    <sheet name="TMT" sheetId="13" r:id="rId6"/>
    <sheet name="Cement" sheetId="3" r:id="rId7"/>
    <sheet name="Material details" sheetId="11" r:id="rId8"/>
    <sheet name="CEMENT-1" sheetId="4" state="hidden" r:id="rId9"/>
    <sheet name="Cement-Con-1" sheetId="37" state="hidden" r:id="rId10"/>
    <sheet name="CEMENT-2" sheetId="39" r:id="rId11"/>
    <sheet name="Indices" sheetId="38" r:id="rId12"/>
    <sheet name="Corrected Index" sheetId="41" r:id="rId13"/>
    <sheet name="Corrected Index (2)" sheetId="42" r:id="rId14"/>
    <sheet name="Sheet2" sheetId="43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l" localSheetId="13">#REF!</definedName>
    <definedName name="\l">#REF!</definedName>
    <definedName name="\p" localSheetId="13">#REF!</definedName>
    <definedName name="\p">#REF!</definedName>
    <definedName name="_____dim4" localSheetId="13">#REF!</definedName>
    <definedName name="_____dim4">#REF!</definedName>
    <definedName name="_____rm4" localSheetId="13">#REF!</definedName>
    <definedName name="_____rm4">#REF!</definedName>
    <definedName name="____dim4" localSheetId="13">#REF!</definedName>
    <definedName name="____dim4">#REF!</definedName>
    <definedName name="____rm4" localSheetId="13">#REF!</definedName>
    <definedName name="____rm4">#REF!</definedName>
    <definedName name="___bol1" localSheetId="13">#REF!</definedName>
    <definedName name="___bol1">#REF!</definedName>
    <definedName name="___dim4" localSheetId="13">#REF!</definedName>
    <definedName name="___dim4">#REF!</definedName>
    <definedName name="___rim4" localSheetId="13">#REF!</definedName>
    <definedName name="___rim4">#REF!</definedName>
    <definedName name="___rm4" localSheetId="13">#REF!</definedName>
    <definedName name="___rm4">#REF!</definedName>
    <definedName name="__123Graph_X" localSheetId="13" hidden="1">#REF!</definedName>
    <definedName name="__123Graph_X" hidden="1">#REF!</definedName>
    <definedName name="__bol1" localSheetId="13">#REF!</definedName>
    <definedName name="__bol1">#REF!</definedName>
    <definedName name="__dim4" localSheetId="13">#REF!</definedName>
    <definedName name="__dim4">#REF!</definedName>
    <definedName name="__rim4" localSheetId="13">#REF!</definedName>
    <definedName name="__rim4">#REF!</definedName>
    <definedName name="__rm4" localSheetId="13">#REF!</definedName>
    <definedName name="__rm4">#REF!</definedName>
    <definedName name="_bol1" localSheetId="13">#REF!</definedName>
    <definedName name="_bol1">#REF!</definedName>
    <definedName name="_dim4" localSheetId="13">#REF!</definedName>
    <definedName name="_dim4">#REF!</definedName>
    <definedName name="_rim4" localSheetId="13">#REF!</definedName>
    <definedName name="_rim4">#REF!</definedName>
    <definedName name="_rm4" localSheetId="13">#REF!</definedName>
    <definedName name="_rm4">#REF!</definedName>
    <definedName name="A1_" localSheetId="13">#REF!</definedName>
    <definedName name="A1_">#REF!</definedName>
    <definedName name="A10_" localSheetId="13">#REF!</definedName>
    <definedName name="A10_">#REF!</definedName>
    <definedName name="A13_" localSheetId="13">#REF!</definedName>
    <definedName name="A13_">#REF!</definedName>
    <definedName name="A2_" localSheetId="13">#REF!</definedName>
    <definedName name="A2_">#REF!</definedName>
    <definedName name="A3_" localSheetId="13">#REF!</definedName>
    <definedName name="A3_">#REF!</definedName>
    <definedName name="A4_" localSheetId="13">#REF!</definedName>
    <definedName name="A4_">#REF!</definedName>
    <definedName name="A5_" localSheetId="13">#REF!</definedName>
    <definedName name="A5_">#REF!</definedName>
    <definedName name="A6_" localSheetId="13">#REF!</definedName>
    <definedName name="A6_">#REF!</definedName>
    <definedName name="A7_" localSheetId="13">#REF!</definedName>
    <definedName name="A7_">#REF!</definedName>
    <definedName name="A8_" localSheetId="13">#REF!</definedName>
    <definedName name="A8_">#REF!</definedName>
    <definedName name="A9_" localSheetId="13">#REF!</definedName>
    <definedName name="A9_">#REF!</definedName>
    <definedName name="acab">"$#REF!.$AQ$3"</definedName>
    <definedName name="accab">"$#REF!.$AS$3"</definedName>
    <definedName name="acon">"$#REF!.$AR$3"</definedName>
    <definedName name="ActCode" localSheetId="13">#REF!</definedName>
    <definedName name="ActCode">#REF!</definedName>
    <definedName name="ActPilot" localSheetId="13">#REF!</definedName>
    <definedName name="ActPilot">#REF!</definedName>
    <definedName name="ActSignal" localSheetId="13">#REF!</definedName>
    <definedName name="ActSignal">#REF!</definedName>
    <definedName name="ActType" localSheetId="13">#REF!</definedName>
    <definedName name="ActType">#REF!</definedName>
    <definedName name="ActualCv" localSheetId="13">#REF!</definedName>
    <definedName name="ActualCv">#REF!</definedName>
    <definedName name="ActualPress" localSheetId="13">#REF!</definedName>
    <definedName name="ActualPress">#REF!</definedName>
    <definedName name="asd" localSheetId="13">#REF!</definedName>
    <definedName name="asd">#REF!</definedName>
    <definedName name="asdf" localSheetId="13">#REF!</definedName>
    <definedName name="asdf">#REF!</definedName>
    <definedName name="asf" localSheetId="13">#REF!</definedName>
    <definedName name="asf">#REF!</definedName>
    <definedName name="auxlp" localSheetId="13">#REF!</definedName>
    <definedName name="auxlp">#REF!</definedName>
    <definedName name="B">'[1]PRECAST lightconc-II'!$K$19</definedName>
    <definedName name="Band">[2]Labels!$E$3:$E$9</definedName>
    <definedName name="BldgQty">"$#REF!.$M$4"</definedName>
    <definedName name="bol" localSheetId="13">#REF!</definedName>
    <definedName name="bol">#REF!</definedName>
    <definedName name="boml" localSheetId="13">#REF!</definedName>
    <definedName name="boml">#REF!</definedName>
    <definedName name="botl" localSheetId="13">#REF!</definedName>
    <definedName name="botl">#REF!</definedName>
    <definedName name="botn" localSheetId="13">#REF!</definedName>
    <definedName name="botn">#REF!</definedName>
    <definedName name="Breakup" localSheetId="13">#REF!</definedName>
    <definedName name="Breakup">#REF!</definedName>
    <definedName name="bua" localSheetId="13">#REF!</definedName>
    <definedName name="bua">#REF!</definedName>
    <definedName name="bxnvxnd" localSheetId="13">#REF!</definedName>
    <definedName name="bxnvxnd">#REF!</definedName>
    <definedName name="cab" localSheetId="13">#REF!</definedName>
    <definedName name="cab">#REF!</definedName>
    <definedName name="cab21.5tp" localSheetId="13">#REF!</definedName>
    <definedName name="cab21.5tp">#REF!</definedName>
    <definedName name="cab21s" localSheetId="13">#REF!</definedName>
    <definedName name="cab21s">#REF!</definedName>
    <definedName name="cab21us" localSheetId="13">#REF!</definedName>
    <definedName name="cab21us">#REF!</definedName>
    <definedName name="cab31s" localSheetId="13">#REF!</definedName>
    <definedName name="cab31s">#REF!</definedName>
    <definedName name="cab31us" localSheetId="13">#REF!</definedName>
    <definedName name="cab31us">#REF!</definedName>
    <definedName name="cab41s" localSheetId="13">#REF!</definedName>
    <definedName name="cab41s">#REF!</definedName>
    <definedName name="cab41us" localSheetId="13">#REF!</definedName>
    <definedName name="cab41us">#REF!</definedName>
    <definedName name="cabd">"$#REF!.$#REF!$#REF!"</definedName>
    <definedName name="cabf" localSheetId="13">#REF!</definedName>
    <definedName name="cabf">#REF!</definedName>
    <definedName name="cabinet" localSheetId="13">#REF!</definedName>
    <definedName name="cabinet">#REF!</definedName>
    <definedName name="cald">"$#REF!.$B$11"</definedName>
    <definedName name="CALf" localSheetId="13">#REF!</definedName>
    <definedName name="CALf">#REF!</definedName>
    <definedName name="CALIMP">"'file://Vijay/d/Offers/GRUNDFOSS/Grundfoss Offer 4A12/Final Offer - 4C16/IO List 4C08.xls'#$factors.$#REF!$#REF!"</definedName>
    <definedName name="cant" localSheetId="13">'[3]Staff Acco.'!#REF!</definedName>
    <definedName name="cant">'[3]Staff Acco.'!#REF!</definedName>
    <definedName name="CardReaderInd400" localSheetId="13">[4]CCTV_EST1!#REF!</definedName>
    <definedName name="CardReaderInd400">[4]CCTV_EST1!#REF!</definedName>
    <definedName name="cdf" localSheetId="13">#REF!</definedName>
    <definedName name="cdf">#REF!</definedName>
    <definedName name="ciff" localSheetId="13">#REF!</definedName>
    <definedName name="ciff">#REF!</definedName>
    <definedName name="ClientAddress1" localSheetId="13">#REF!</definedName>
    <definedName name="ClientAddress1">#REF!</definedName>
    <definedName name="ClientAddress2" localSheetId="13">#REF!</definedName>
    <definedName name="ClientAddress2">#REF!</definedName>
    <definedName name="ClientCity" localSheetId="13">#REF!</definedName>
    <definedName name="ClientCity">#REF!</definedName>
    <definedName name="ClientCountry" localSheetId="13">#REF!</definedName>
    <definedName name="ClientCountry">#REF!</definedName>
    <definedName name="ClientEmail" localSheetId="13">#REF!</definedName>
    <definedName name="ClientEmail">#REF!</definedName>
    <definedName name="ClientFax" localSheetId="13">#REF!</definedName>
    <definedName name="ClientFax">#REF!</definedName>
    <definedName name="ClientPhone" localSheetId="13">#REF!</definedName>
    <definedName name="ClientPhone">#REF!</definedName>
    <definedName name="ClientState" localSheetId="13">#REF!</definedName>
    <definedName name="ClientState">#REF!</definedName>
    <definedName name="ClientZip" localSheetId="13">#REF!</definedName>
    <definedName name="ClientZip">#REF!</definedName>
    <definedName name="clrf" localSheetId="13">#REF!</definedName>
    <definedName name="clrf">#REF!</definedName>
    <definedName name="COAD">'[5]Civil Works'!$K$7</definedName>
    <definedName name="Comments" localSheetId="13">#REF!</definedName>
    <definedName name="Comments">#REF!</definedName>
    <definedName name="Company" localSheetId="13">#REF!</definedName>
    <definedName name="Company">#REF!</definedName>
    <definedName name="CompanyInfo1">"JCI"</definedName>
    <definedName name="CompanyInfo2">"JCI"</definedName>
    <definedName name="condf" localSheetId="13">#REF!</definedName>
    <definedName name="condf">#REF!</definedName>
    <definedName name="conf" localSheetId="13">#REF!</definedName>
    <definedName name="conf">#REF!</definedName>
    <definedName name="conmsf">[6]factors!$J$8</definedName>
    <definedName name="Construction_Period" localSheetId="13">#REF!</definedName>
    <definedName name="Construction_Period">#REF!</definedName>
    <definedName name="Contact" localSheetId="13">#REF!</definedName>
    <definedName name="Contact">#REF!</definedName>
    <definedName name="ContractName">"Contract"</definedName>
    <definedName name="ContractNumber">"88888888"</definedName>
    <definedName name="costing" localSheetId="13">#REF!</definedName>
    <definedName name="costing">#REF!</definedName>
    <definedName name="cstf" localSheetId="13">#REF!</definedName>
    <definedName name="cstf">#REF!</definedName>
    <definedName name="Customer">" "</definedName>
    <definedName name="cvdf" localSheetId="13">#REF!</definedName>
    <definedName name="cvdf">#REF!</definedName>
    <definedName name="D">'[1]PRECAST lightconc-II'!$J$20</definedName>
    <definedName name="Date" localSheetId="13">#REF!</definedName>
    <definedName name="Date">#REF!</definedName>
    <definedName name="DCU" localSheetId="13">'[7]ACS(1)'!#REF!</definedName>
    <definedName name="DCU">'[7]ACS(1)'!#REF!</definedName>
    <definedName name="DECISION">[8]Sheet2!$B$2:$B$3</definedName>
    <definedName name="DesignPress" localSheetId="13">#REF!</definedName>
    <definedName name="DesignPress">#REF!</definedName>
    <definedName name="dim4e">"$#REF!.$#REF!$#REF!"</definedName>
    <definedName name="DocumentName">""</definedName>
    <definedName name="DocumentNumber">""</definedName>
    <definedName name="DP" localSheetId="13">#REF!</definedName>
    <definedName name="DP">#REF!</definedName>
    <definedName name="dsdud" localSheetId="13">#REF!</definedName>
    <definedName name="dsdud">#REF!</definedName>
    <definedName name="E">'[1]PRECAST lightconc-II'!$K$20</definedName>
    <definedName name="Encoder" localSheetId="13">[4]CCTV_EST1!#REF!</definedName>
    <definedName name="Encoder">[4]CCTV_EST1!#REF!</definedName>
    <definedName name="er" localSheetId="13">#REF!</definedName>
    <definedName name="er">#REF!</definedName>
    <definedName name="eu" localSheetId="13">#REF!</definedName>
    <definedName name="eu">#REF!</definedName>
    <definedName name="EUR" localSheetId="13">#REF!</definedName>
    <definedName name="EUR">#REF!</definedName>
    <definedName name="Excel_BuiltIn__FilterDatabase_2" localSheetId="13">#REF!</definedName>
    <definedName name="Excel_BuiltIn__FilterDatabase_2">#REF!</definedName>
    <definedName name="Excel_BuiltIn_Print_Area_1_1" localSheetId="13">#REF!</definedName>
    <definedName name="Excel_BuiltIn_Print_Area_1_1">#REF!</definedName>
    <definedName name="Excel_BuiltIn_Print_Area_2" localSheetId="13">#REF!</definedName>
    <definedName name="Excel_BuiltIn_Print_Area_2">#REF!</definedName>
    <definedName name="Excel_BuiltIn_Print_Area_2_1" localSheetId="13">#REF!</definedName>
    <definedName name="Excel_BuiltIn_Print_Area_2_1">#REF!</definedName>
    <definedName name="Excel_BuiltIn_Print_Area_2_1_1" localSheetId="13">#REF!</definedName>
    <definedName name="Excel_BuiltIn_Print_Area_2_1_1">#REF!</definedName>
    <definedName name="Excel_BuiltIn_Print_Area_2_1_1_1" localSheetId="13">#REF!</definedName>
    <definedName name="Excel_BuiltIn_Print_Area_2_1_1_1">#REF!</definedName>
    <definedName name="Excel_BuiltIn_Print_Area_4_1">"$#REF!.$A$1:$I$15"</definedName>
    <definedName name="Excel_BuiltIn_Print_Area_6">"$#REF!.$A$1:$C$14"</definedName>
    <definedName name="Excel_BuiltIn_Print_Titles_1_1" localSheetId="13">#REF!</definedName>
    <definedName name="Excel_BuiltIn_Print_Titles_1_1">#REF!</definedName>
    <definedName name="Excel_BuiltIn_Print_Titles_1_1_1" localSheetId="13">#REF!</definedName>
    <definedName name="Excel_BuiltIn_Print_Titles_1_1_1">#REF!</definedName>
    <definedName name="Excel_BuiltIn_Print_Titles_1_1_1_1" localSheetId="13">#REF!</definedName>
    <definedName name="Excel_BuiltIn_Print_Titles_1_1_1_1">#REF!</definedName>
    <definedName name="Excel_BuiltIn_Print_Titles_1_1_1_1_1" localSheetId="13">#REF!</definedName>
    <definedName name="Excel_BuiltIn_Print_Titles_1_1_1_1_1">#REF!</definedName>
    <definedName name="Excel_BuiltIn_Print_Titles_1_1_1_1_1_1" localSheetId="13">#REF!</definedName>
    <definedName name="Excel_BuiltIn_Print_Titles_1_1_1_1_1_1">#REF!</definedName>
    <definedName name="Excel_BuiltIn_Print_Titles_1_1_1_1_1_1_1" localSheetId="13">#REF!</definedName>
    <definedName name="Excel_BuiltIn_Print_Titles_1_1_1_1_1_1_1">#REF!</definedName>
    <definedName name="Excel_BuiltIn_Print_Titles_1_1_1_1_1_1_1_1" localSheetId="13">#REF!</definedName>
    <definedName name="Excel_BuiltIn_Print_Titles_1_1_1_1_1_1_1_1">#REF!</definedName>
    <definedName name="Excel_BuiltIn_Print_Titles_1_1_1_1_1_1_1_1_1" localSheetId="13">#REF!</definedName>
    <definedName name="Excel_BuiltIn_Print_Titles_1_1_1_1_1_1_1_1_1">#REF!</definedName>
    <definedName name="Excel_BuiltIn_Print_Titles_1_1_1_1_1_1_1_1_1_1" localSheetId="13">#REF!</definedName>
    <definedName name="Excel_BuiltIn_Print_Titles_1_1_1_1_1_1_1_1_1_1">#REF!</definedName>
    <definedName name="Excel_BuiltIn_Print_Titles_1_1_1_1_1_1_1_1_1_1_1" localSheetId="13">#REF!</definedName>
    <definedName name="Excel_BuiltIn_Print_Titles_1_1_1_1_1_1_1_1_1_1_1">#REF!</definedName>
    <definedName name="Excel_BuiltIn_Print_Titles_2" localSheetId="13">#REF!</definedName>
    <definedName name="Excel_BuiltIn_Print_Titles_2">#REF!</definedName>
    <definedName name="Excel_BuiltIn_Print_Titles_4_1">"$#REF!.$A$5:$IV$7"</definedName>
    <definedName name="Excel_BuiltIn_Print_Titles_5">"$#REF!.$A$3:$IV$4"</definedName>
    <definedName name="Excel_BuiltIn_Print_Titles_6">"$#REF!.$A$5:$IV$7"</definedName>
    <definedName name="Export" localSheetId="13">#REF!</definedName>
    <definedName name="Export">#REF!</definedName>
    <definedName name="eyrlp" localSheetId="13">#REF!</definedName>
    <definedName name="eyrlp">#REF!</definedName>
    <definedName name="FACP" localSheetId="13">'[7]FAS-C(4)'!#REF!</definedName>
    <definedName name="FACP">'[7]FAS-C(4)'!#REF!</definedName>
    <definedName name="ff" localSheetId="13">#REF!</definedName>
    <definedName name="ff">#REF!</definedName>
    <definedName name="fff" localSheetId="13">#REF!</definedName>
    <definedName name="fff">#REF!</definedName>
    <definedName name="fgf" localSheetId="13">#REF!</definedName>
    <definedName name="fgf">#REF!</definedName>
    <definedName name="FIFTH" localSheetId="13">#REF!</definedName>
    <definedName name="FIFTH">#REF!</definedName>
    <definedName name="filters">[8]Sheet2!$K$2:$K$5</definedName>
    <definedName name="firstValve" localSheetId="13">#REF!</definedName>
    <definedName name="firstValve">#REF!</definedName>
    <definedName name="Fixed_Lens" localSheetId="13">#REF!</definedName>
    <definedName name="Fixed_Lens">#REF!</definedName>
    <definedName name="Fixed_Lens2" localSheetId="13">'[7]CCTV(old)'!#REF!</definedName>
    <definedName name="Fixed_Lens2">'[7]CCTV(old)'!#REF!</definedName>
    <definedName name="fjhbjk" localSheetId="13">#REF!</definedName>
    <definedName name="fjhbjk">#REF!</definedName>
    <definedName name="Floorsqty">"$#REF!.$M$5"</definedName>
    <definedName name="fsg" localSheetId="13">#REF!</definedName>
    <definedName name="fsg">#REF!</definedName>
    <definedName name="FTH">[2]Labels!$A$7:$A$9</definedName>
    <definedName name="FTH_Types">[2]Labels!$C$12:$C$13</definedName>
    <definedName name="gfg" localSheetId="13">#REF!</definedName>
    <definedName name="gfg">#REF!</definedName>
    <definedName name="Group1" localSheetId="13">#REF!</definedName>
    <definedName name="Group1">#REF!</definedName>
    <definedName name="Group2" localSheetId="13">#REF!</definedName>
    <definedName name="Group2">#REF!</definedName>
    <definedName name="Group3" localSheetId="13">#REF!</definedName>
    <definedName name="Group3">#REF!</definedName>
    <definedName name="Group4" localSheetId="13">#REF!</definedName>
    <definedName name="Group4">#REF!</definedName>
    <definedName name="Housing_Accessories" localSheetId="13">'[7]CCTV(old)'!#REF!</definedName>
    <definedName name="Housing_Accessories">'[7]CCTV(old)'!#REF!</definedName>
    <definedName name="Housing_Prepacs" localSheetId="13">'[7]CCTV(old)'!#REF!</definedName>
    <definedName name="Housing_Prepacs">'[7]CCTV(old)'!#REF!</definedName>
    <definedName name="IBM_Labour">[2]Labels!$A$12:$A$13</definedName>
    <definedName name="iio" localSheetId="13">#REF!</definedName>
    <definedName name="iio">#REF!</definedName>
    <definedName name="indf" localSheetId="13">#REF!</definedName>
    <definedName name="indf">#REF!</definedName>
    <definedName name="InitialUse">0</definedName>
    <definedName name="INR_Conv" localSheetId="13">#REF!</definedName>
    <definedName name="INR_Conv">#REF!</definedName>
    <definedName name="insert_rows_1" localSheetId="13">'[9]Basement Budget'!#REF!</definedName>
    <definedName name="insert_rows_1">'[9]Basement Budget'!#REF!</definedName>
    <definedName name="instf" localSheetId="13">#REF!</definedName>
    <definedName name="instf">#REF!</definedName>
    <definedName name="ioio" localSheetId="13">#REF!</definedName>
    <definedName name="ioio">#REF!</definedName>
    <definedName name="ioioioo" localSheetId="13">#REF!</definedName>
    <definedName name="ioioioo">#REF!</definedName>
    <definedName name="IOLIST">'[10]IO LIST'!$A$1:$O$134</definedName>
    <definedName name="ItemNum" localSheetId="13">#REF!</definedName>
    <definedName name="ItemNum">#REF!</definedName>
    <definedName name="jjgnhn" localSheetId="13">#REF!</definedName>
    <definedName name="jjgnhn">#REF!</definedName>
    <definedName name="JobID" localSheetId="13">#REF!</definedName>
    <definedName name="JobID">#REF!</definedName>
    <definedName name="K" localSheetId="13">#REF!</definedName>
    <definedName name="K">#REF!</definedName>
    <definedName name="khd">"$#REF!.$B$6"</definedName>
    <definedName name="khf">"$#REF!.$J$6"</definedName>
    <definedName name="kjhgfh" localSheetId="13">#REF!</definedName>
    <definedName name="kjhgfh">#REF!</definedName>
    <definedName name="kk" localSheetId="13">#REF!</definedName>
    <definedName name="kk">#REF!</definedName>
    <definedName name="kkj" localSheetId="13">#REF!</definedName>
    <definedName name="kkj">#REF!</definedName>
    <definedName name="kljdfng" localSheetId="13">#REF!</definedName>
    <definedName name="kljdfng">#REF!</definedName>
    <definedName name="ksd">"$#REF!.$B$7"</definedName>
    <definedName name="ksf">"$#REF!.$J$7"</definedName>
    <definedName name="L" localSheetId="13">#REF!</definedName>
    <definedName name="L">#REF!</definedName>
    <definedName name="Labour_Service_Levels">[2]Labels!$F$28:$F$30</definedName>
    <definedName name="lef" localSheetId="13">#REF!</definedName>
    <definedName name="lef">#REF!</definedName>
    <definedName name="lel" localSheetId="13">#REF!</definedName>
    <definedName name="lel">#REF!</definedName>
    <definedName name="lfdkg" localSheetId="13">#REF!</definedName>
    <definedName name="lfdkg">#REF!</definedName>
    <definedName name="lkjbhfdjkg" localSheetId="13">#REF!</definedName>
    <definedName name="lkjbhfdjkg">#REF!</definedName>
    <definedName name="lokfg" localSheetId="13">#REF!</definedName>
    <definedName name="lokfg">#REF!</definedName>
    <definedName name="ltf">"$#REF!.$B$10"</definedName>
    <definedName name="Magstripe300" localSheetId="13">[4]CCTV_EST1!#REF!</definedName>
    <definedName name="Magstripe300">[4]CCTV_EST1!#REF!</definedName>
    <definedName name="mgf">"$#REF!.$#REF!$#REF!"</definedName>
    <definedName name="mjngvkjbn" localSheetId="13">#REF!</definedName>
    <definedName name="mjngvkjbn">#REF!</definedName>
    <definedName name="Multinodes" localSheetId="13">[4]CCTV_EST1!#REF!</definedName>
    <definedName name="Multinodes">[4]CCTV_EST1!#REF!</definedName>
    <definedName name="NIPD">[11]Formulas!$B$54</definedName>
    <definedName name="numf">"$#REF!.$#REF!$#REF!"</definedName>
    <definedName name="octf" localSheetId="13">#REF!</definedName>
    <definedName name="octf">#REF!</definedName>
    <definedName name="Overall_Summary_Title" localSheetId="13">#REF!</definedName>
    <definedName name="Overall_Summary_Title">#REF!</definedName>
    <definedName name="Pan_Tilt_Drive_Dome" localSheetId="13">'[7]CCTV(old)'!#REF!</definedName>
    <definedName name="Pan_Tilt_Drive_Dome">'[7]CCTV(old)'!#REF!</definedName>
    <definedName name="PhaseCode" localSheetId="13">#REF!</definedName>
    <definedName name="PhaseCode">#REF!</definedName>
    <definedName name="PhonesQty">"$#REF!.$#REF!$#REF!"</definedName>
    <definedName name="PipeSize" localSheetId="13">#REF!</definedName>
    <definedName name="PipeSize">#REF!</definedName>
    <definedName name="PipingDetail" localSheetId="13">#REF!</definedName>
    <definedName name="PipingDetail">#REF!</definedName>
    <definedName name="po" localSheetId="13">#REF!</definedName>
    <definedName name="po">#REF!</definedName>
    <definedName name="Principal" localSheetId="13">#REF!</definedName>
    <definedName name="Principal">#REF!</definedName>
    <definedName name="_xlnm.Print_Area" localSheetId="6">Cement!$A$1:$L$13</definedName>
    <definedName name="_xlnm.Print_Area" localSheetId="8">'CEMENT-1'!$A$1:$G$13</definedName>
    <definedName name="_xlnm.Print_Area" localSheetId="10">'CEMENT-2'!$A$1:$G$20</definedName>
    <definedName name="_xlnm.Print_Area" localSheetId="9">'Cement-Con-1'!$A$1:$O$28</definedName>
    <definedName name="_xlnm.Print_Area" localSheetId="12">'Corrected Index'!$A$1:$J$159</definedName>
    <definedName name="_xlnm.Print_Area" localSheetId="13">'Corrected Index (2)'!$A$1:$H$82</definedName>
    <definedName name="_xlnm.Print_Area" localSheetId="0">'Detailed Info'!$A$1:$C$11</definedName>
    <definedName name="_xlnm.Print_Area" localSheetId="11">Indices!$A$1:$G$26</definedName>
    <definedName name="_xlnm.Print_Area" localSheetId="2">Labour!$A$1:$L$18</definedName>
    <definedName name="_xlnm.Print_Area" localSheetId="7">'Material details'!$A$1:$G$11</definedName>
    <definedName name="_xlnm.Print_Area" localSheetId="3">'Other material '!$A$1:$L$18</definedName>
    <definedName name="_xlnm.Print_Area" localSheetId="4">P.O.L!$A$1:$L$15</definedName>
    <definedName name="_xlnm.Print_Area" localSheetId="1">Summary!$A$1:$E$11</definedName>
    <definedName name="_xlnm.Print_Area" localSheetId="5">TMT!$A$1:$L$18</definedName>
    <definedName name="_xlnm.Print_Area">#REF!</definedName>
    <definedName name="PRINT_AREA_MI" localSheetId="13">#REF!</definedName>
    <definedName name="PRINT_AREA_MI">#REF!</definedName>
    <definedName name="_xlnm.Print_Titles" localSheetId="6">Cement!$8:$9</definedName>
    <definedName name="_xlnm.Print_Titles" localSheetId="12">'Corrected Index'!$2:$5</definedName>
    <definedName name="_xlnm.Print_Titles" localSheetId="13">'Corrected Index (2)'!$2:$4</definedName>
    <definedName name="_xlnm.Print_Titles" localSheetId="2">Labour!$12:$13</definedName>
    <definedName name="_xlnm.Print_Titles" localSheetId="7">'Material details'!$5:$6</definedName>
    <definedName name="_xlnm.Print_Titles" localSheetId="3">'Other material '!$12:$13</definedName>
    <definedName name="_xlnm.Print_Titles" localSheetId="4">P.O.L!$9:$10</definedName>
    <definedName name="_xlnm.Print_Titles" localSheetId="5">TMT!$12:$13</definedName>
    <definedName name="_xlnm.Print_Titles">#N/A</definedName>
    <definedName name="ProjectLocation" localSheetId="13">#REF!</definedName>
    <definedName name="ProjectLocation">#REF!</definedName>
    <definedName name="ProjectName">"Test"</definedName>
    <definedName name="ProjectName1">"Test"</definedName>
    <definedName name="ProjectName2">"Test"</definedName>
    <definedName name="ProjectName3">"Test"</definedName>
    <definedName name="ProjectNumber">"88888888"</definedName>
    <definedName name="ProjectSubtitle" localSheetId="13">#REF!</definedName>
    <definedName name="ProjectSubtitle">#REF!</definedName>
    <definedName name="ProjectTitle" localSheetId="13">#REF!</definedName>
    <definedName name="ProjectTitle">#REF!</definedName>
    <definedName name="RANGE2">'[12]Cable-data'!$A$33:$K$48</definedName>
    <definedName name="RANGE6">'[13]CABLE DATA'!$A$31:$C$46</definedName>
    <definedName name="r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aderProximity" localSheetId="13">[4]CCTV_EST1!#REF!</definedName>
    <definedName name="ReaderProximity">[4]CCTV_EST1!#REF!</definedName>
    <definedName name="ReaderWiegand" localSheetId="13">'[7]ACS(1)'!#REF!</definedName>
    <definedName name="ReaderWiegand">'[7]ACS(1)'!#REF!</definedName>
    <definedName name="RefDwg" localSheetId="13">#REF!</definedName>
    <definedName name="RefDwg">#REF!</definedName>
    <definedName name="rel" localSheetId="13">#REF!</definedName>
    <definedName name="rel">#REF!</definedName>
    <definedName name="return">[8]Sheet2!$P$2:$P$5</definedName>
    <definedName name="Rev" localSheetId="13">#REF!</definedName>
    <definedName name="Rev">#REF!</definedName>
    <definedName name="rig" localSheetId="13">#REF!</definedName>
    <definedName name="rig">#REF!</definedName>
    <definedName name="rm4e">"$#REF!.$#REF!$#REF!"</definedName>
    <definedName name="robot" localSheetId="13">#REF!</definedName>
    <definedName name="robot">#REF!</definedName>
    <definedName name="rosid" localSheetId="13">#REF!</definedName>
    <definedName name="rosid">#REF!</definedName>
    <definedName name="rty" localSheetId="13">#REF!</definedName>
    <definedName name="rty">#REF!</definedName>
    <definedName name="s" localSheetId="13">#REF!</definedName>
    <definedName name="s">#REF!</definedName>
    <definedName name="sad" localSheetId="13">#REF!</definedName>
    <definedName name="sad">#REF!</definedName>
    <definedName name="saucomd" localSheetId="13">#REF!</definedName>
    <definedName name="saucomd">#REF!</definedName>
    <definedName name="saucstf" localSheetId="13">#REF!</definedName>
    <definedName name="saucstf">#REF!</definedName>
    <definedName name="saud" localSheetId="13">#REF!</definedName>
    <definedName name="saud">#REF!</definedName>
    <definedName name="saudirf" localSheetId="13">#REF!</definedName>
    <definedName name="saudirf">#REF!</definedName>
    <definedName name="sauf" localSheetId="13">#REF!</definedName>
    <definedName name="sauf">#REF!</definedName>
    <definedName name="sauif" localSheetId="13">#REF!</definedName>
    <definedName name="sauif">#REF!</definedName>
    <definedName name="sauspad" localSheetId="13">#REF!</definedName>
    <definedName name="sauspad">#REF!</definedName>
    <definedName name="sausysd" localSheetId="13">#REF!</definedName>
    <definedName name="sausysd">#REF!</definedName>
    <definedName name="scheduleType">"valve"</definedName>
    <definedName name="Sdate" localSheetId="13">#REF!</definedName>
    <definedName name="Sdate">#REF!</definedName>
    <definedName name="sdf" localSheetId="13">#REF!</definedName>
    <definedName name="sdf">#REF!</definedName>
    <definedName name="Section_1_Title" localSheetId="13">#REF!</definedName>
    <definedName name="Section_1_Title">#REF!</definedName>
    <definedName name="Section_2_Title" localSheetId="13">#REF!</definedName>
    <definedName name="Section_2_Title">#REF!</definedName>
    <definedName name="Section_3_Title" localSheetId="13">#REF!</definedName>
    <definedName name="Section_3_Title">#REF!</definedName>
    <definedName name="Section_4_Title" localSheetId="13">#REF!</definedName>
    <definedName name="Section_4_Title">#REF!</definedName>
    <definedName name="Section_5_Title" localSheetId="13">#REF!</definedName>
    <definedName name="Section_5_Title">#REF!</definedName>
    <definedName name="Section_6_Title" localSheetId="13">#REF!</definedName>
    <definedName name="Section_6_Title">#REF!</definedName>
    <definedName name="Section_7_Title" localSheetId="13">#REF!</definedName>
    <definedName name="Section_7_Title">#REF!</definedName>
    <definedName name="Section_8_Title" localSheetId="13">#REF!</definedName>
    <definedName name="Section_8_Title">#REF!</definedName>
    <definedName name="serf">"$#REF!.$B$9"</definedName>
    <definedName name="servf" localSheetId="13">#REF!</definedName>
    <definedName name="servf">#REF!</definedName>
    <definedName name="Service" localSheetId="13">#REF!</definedName>
    <definedName name="Service">#REF!</definedName>
    <definedName name="sfasf" localSheetId="13">#REF!</definedName>
    <definedName name="sfasf">#REF!</definedName>
    <definedName name="shd">"$#REF!.$B$3"</definedName>
    <definedName name="shf">"$#REF!.$J$3"</definedName>
    <definedName name="SIXTH" localSheetId="13">#REF!</definedName>
    <definedName name="SIXTH">#REF!</definedName>
    <definedName name="sond" localSheetId="13">#REF!</definedName>
    <definedName name="sond">#REF!</definedName>
    <definedName name="sondf" localSheetId="13">#REF!</definedName>
    <definedName name="sondf">#REF!</definedName>
    <definedName name="SONTF">"'file://Vijay/d/Offers/GRUNDFOSS/Grundfoss Offer 4A12/Final Offer - 4C16/IO List 4C08.xls'#$factors.$#REF!$#REF!"</definedName>
    <definedName name="Specification" localSheetId="13">'[14]d-safe DELUXE'!#REF!</definedName>
    <definedName name="Specification">'[14]d-safe DELUXE'!#REF!</definedName>
    <definedName name="srvf">"$#REF!.$I$3"</definedName>
    <definedName name="ssd">"$#REF!.$B$4"</definedName>
    <definedName name="ssf">"$#REF!.$J$4"</definedName>
    <definedName name="sss" localSheetId="13">#REF!</definedName>
    <definedName name="sss">#REF!</definedName>
    <definedName name="Stage" localSheetId="13">#REF!</definedName>
    <definedName name="Stage">#REF!</definedName>
    <definedName name="Staircase" localSheetId="13">#REF!</definedName>
    <definedName name="Staircase">#REF!</definedName>
    <definedName name="Staircase2" localSheetId="13">#REF!</definedName>
    <definedName name="Staircase2">#REF!</definedName>
    <definedName name="Start_Date" localSheetId="13">#REF!</definedName>
    <definedName name="Start_Date">#REF!</definedName>
    <definedName name="StartRow">6</definedName>
    <definedName name="STP" localSheetId="13">#REF!</definedName>
    <definedName name="STP">#REF!</definedName>
    <definedName name="StrID" localSheetId="13">#REF!</definedName>
    <definedName name="StrID">#REF!</definedName>
    <definedName name="Subject" localSheetId="13">#REF!</definedName>
    <definedName name="Subject">#REF!</definedName>
    <definedName name="swf" localSheetId="13">#REF!</definedName>
    <definedName name="swf">#REF!</definedName>
    <definedName name="SystemName" localSheetId="13">#REF!</definedName>
    <definedName name="SystemName">#REF!</definedName>
    <definedName name="tem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st" localSheetId="13">'[15]d-safe specs'!#REF!</definedName>
    <definedName name="test">'[15]d-safe specs'!#REF!</definedName>
    <definedName name="Title1" localSheetId="13">#REF!</definedName>
    <definedName name="Title1">#REF!</definedName>
    <definedName name="Title2" localSheetId="13">#REF!</definedName>
    <definedName name="Title2">#REF!</definedName>
    <definedName name="tol" localSheetId="13">#REF!</definedName>
    <definedName name="tol">#REF!</definedName>
    <definedName name="topl" localSheetId="13">#REF!</definedName>
    <definedName name="topl">#REF!</definedName>
    <definedName name="topn" localSheetId="13">#REF!</definedName>
    <definedName name="topn">#REF!</definedName>
    <definedName name="type" localSheetId="13">#REF!</definedName>
    <definedName name="type">#REF!</definedName>
    <definedName name="Type3" localSheetId="13">#REF!</definedName>
    <definedName name="Type3">#REF!</definedName>
    <definedName name="tyty" localSheetId="13">#REF!</definedName>
    <definedName name="tyty">#REF!</definedName>
    <definedName name="upperGF2" localSheetId="13">#REF!</definedName>
    <definedName name="upperGF2">#REF!</definedName>
    <definedName name="usd" localSheetId="13">#REF!</definedName>
    <definedName name="usd">#REF!</definedName>
    <definedName name="Use_Alternates" localSheetId="13">#REF!</definedName>
    <definedName name="Use_Alternates">#REF!</definedName>
    <definedName name="UserName">"Subrata"</definedName>
    <definedName name="u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uuu" localSheetId="13">#REF!</definedName>
    <definedName name="uuuu">#REF!</definedName>
    <definedName name="valve2" localSheetId="13">#REF!</definedName>
    <definedName name="valve2">#REF!</definedName>
    <definedName name="valve3" localSheetId="13">#REF!</definedName>
    <definedName name="valve3">#REF!</definedName>
    <definedName name="ValveCfg" localSheetId="13">#REF!</definedName>
    <definedName name="ValveCfg">#REF!</definedName>
    <definedName name="ValveCloseoff" localSheetId="13">#REF!</definedName>
    <definedName name="ValveCloseoff">#REF!</definedName>
    <definedName name="ValveCode" localSheetId="13">#REF!</definedName>
    <definedName name="ValveCode">#REF!</definedName>
    <definedName name="ValveConn" localSheetId="13">#REF!</definedName>
    <definedName name="ValveConn">#REF!</definedName>
    <definedName name="ValveCv" localSheetId="13">#REF!</definedName>
    <definedName name="ValveCv">#REF!</definedName>
    <definedName name="ValveFlow" localSheetId="13">#REF!</definedName>
    <definedName name="ValveFlow">#REF!</definedName>
    <definedName name="ValveFP" localSheetId="13">#REF!</definedName>
    <definedName name="ValveFP">#REF!</definedName>
    <definedName name="ValveQty" localSheetId="13">#REF!</definedName>
    <definedName name="ValveQty">#REF!</definedName>
    <definedName name="valves" localSheetId="13">#REF!</definedName>
    <definedName name="valves">#REF!</definedName>
    <definedName name="ValveSize" localSheetId="13">#REF!</definedName>
    <definedName name="ValveSize">#REF!</definedName>
    <definedName name="vatf" localSheetId="13">#REF!</definedName>
    <definedName name="vatf">#REF!</definedName>
    <definedName name="Version">3</definedName>
    <definedName name="Waiting">"Picture 1"</definedName>
    <definedName name="works_range" localSheetId="13">#REF!</definedName>
    <definedName name="works_range">#REF!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y" localSheetId="13">#REF!</definedName>
    <definedName name="yty">#REF!</definedName>
    <definedName name="zitd">"$#REF!.$#REF!$#REF!"</definedName>
  </definedNames>
  <calcPr calcId="191029"/>
</workbook>
</file>

<file path=xl/calcChain.xml><?xml version="1.0" encoding="utf-8"?>
<calcChain xmlns="http://schemas.openxmlformats.org/spreadsheetml/2006/main">
  <c r="E99" i="41" l="1"/>
  <c r="E100" i="41"/>
  <c r="E101" i="41"/>
  <c r="E102" i="41"/>
  <c r="E103" i="41"/>
  <c r="E104" i="41"/>
  <c r="E105" i="41"/>
  <c r="E106" i="41"/>
  <c r="E107" i="41"/>
  <c r="E108" i="41"/>
  <c r="E109" i="41"/>
  <c r="E110" i="41"/>
  <c r="E111" i="41"/>
  <c r="E112" i="41"/>
  <c r="E113" i="41"/>
  <c r="E114" i="41"/>
  <c r="E115" i="41"/>
  <c r="E116" i="41"/>
  <c r="E117" i="41"/>
  <c r="E118" i="41"/>
  <c r="E119" i="41"/>
  <c r="E120" i="41"/>
  <c r="E121" i="41"/>
  <c r="E122" i="41"/>
  <c r="E123" i="41"/>
  <c r="E124" i="41"/>
  <c r="E125" i="41"/>
  <c r="E126" i="41"/>
  <c r="E127" i="41"/>
  <c r="E128" i="41"/>
  <c r="E129" i="41"/>
  <c r="E130" i="41"/>
  <c r="E131" i="41"/>
  <c r="E132" i="41"/>
  <c r="E133" i="41"/>
  <c r="E134" i="41"/>
  <c r="E135" i="41"/>
  <c r="E136" i="41"/>
  <c r="E137" i="41"/>
  <c r="E138" i="41"/>
  <c r="E139" i="41"/>
  <c r="E140" i="41"/>
  <c r="E141" i="41"/>
  <c r="E142" i="41"/>
  <c r="E143" i="41"/>
  <c r="E144" i="41"/>
  <c r="E145" i="41"/>
  <c r="E146" i="41"/>
  <c r="E147" i="41"/>
  <c r="E148" i="41"/>
  <c r="E149" i="41"/>
  <c r="E150" i="41"/>
  <c r="E151" i="41"/>
  <c r="E152" i="41"/>
  <c r="E153" i="41"/>
  <c r="E154" i="41"/>
  <c r="E155" i="41"/>
  <c r="E156" i="41"/>
  <c r="E157" i="41"/>
  <c r="E158" i="41"/>
  <c r="E98" i="41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E48" i="41"/>
  <c r="E49" i="41"/>
  <c r="E50" i="41"/>
  <c r="E51" i="41"/>
  <c r="E52" i="41"/>
  <c r="E53" i="41"/>
  <c r="E54" i="41"/>
  <c r="E55" i="41"/>
  <c r="E56" i="41"/>
  <c r="E57" i="41"/>
  <c r="E58" i="41"/>
  <c r="E59" i="41"/>
  <c r="E60" i="41"/>
  <c r="E61" i="41"/>
  <c r="E62" i="41"/>
  <c r="E63" i="41"/>
  <c r="E64" i="41"/>
  <c r="E65" i="41"/>
  <c r="E66" i="41"/>
  <c r="E67" i="41"/>
  <c r="E68" i="41"/>
  <c r="E69" i="41"/>
  <c r="E70" i="41"/>
  <c r="E71" i="41"/>
  <c r="E72" i="41"/>
  <c r="E73" i="41"/>
  <c r="E74" i="41"/>
  <c r="E75" i="41"/>
  <c r="E76" i="41"/>
  <c r="E77" i="41"/>
  <c r="E78" i="41"/>
  <c r="E79" i="41"/>
  <c r="E80" i="41"/>
  <c r="E81" i="41"/>
  <c r="E82" i="41"/>
  <c r="E83" i="41"/>
  <c r="E84" i="41"/>
  <c r="E85" i="41"/>
  <c r="E86" i="41"/>
  <c r="E87" i="41"/>
  <c r="E88" i="41"/>
  <c r="E89" i="41"/>
  <c r="E90" i="41"/>
  <c r="E91" i="41"/>
  <c r="E92" i="41"/>
  <c r="E93" i="41"/>
  <c r="E94" i="41"/>
  <c r="E95" i="41"/>
  <c r="E96" i="41"/>
  <c r="E97" i="41"/>
  <c r="E6" i="41"/>
  <c r="D5" i="42"/>
  <c r="D6" i="42"/>
  <c r="D7" i="42"/>
  <c r="D8" i="42"/>
  <c r="D9" i="42"/>
  <c r="D10" i="42"/>
  <c r="D11" i="42"/>
  <c r="D12" i="42"/>
  <c r="D13" i="42"/>
  <c r="D14" i="42"/>
  <c r="D15" i="42"/>
  <c r="D18" i="42"/>
  <c r="D19" i="42"/>
  <c r="D21" i="42"/>
  <c r="D22" i="42"/>
  <c r="D23" i="42"/>
  <c r="D24" i="42"/>
  <c r="D25" i="42"/>
  <c r="D26" i="42"/>
  <c r="D27" i="42"/>
  <c r="D29" i="42"/>
  <c r="D30" i="42"/>
  <c r="D31" i="42"/>
  <c r="D32" i="42"/>
  <c r="D33" i="42"/>
  <c r="D34" i="42"/>
  <c r="D35" i="42"/>
  <c r="D38" i="42"/>
  <c r="D39" i="42"/>
  <c r="D40" i="42"/>
  <c r="D41" i="42"/>
  <c r="D42" i="42"/>
  <c r="D43" i="42"/>
  <c r="D63" i="42"/>
  <c r="D72" i="42"/>
  <c r="A6" i="42"/>
  <c r="A7" i="42" s="1"/>
  <c r="A8" i="42" s="1"/>
  <c r="A9" i="42" s="1"/>
  <c r="A10" i="42" s="1"/>
  <c r="A11" i="42" s="1"/>
  <c r="A12" i="42" s="1"/>
  <c r="A13" i="42" s="1"/>
  <c r="A14" i="42" s="1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A31" i="42" s="1"/>
  <c r="A32" i="42" s="1"/>
  <c r="A33" i="42" s="1"/>
  <c r="A34" i="42" s="1"/>
  <c r="A35" i="42" s="1"/>
  <c r="A36" i="42" s="1"/>
  <c r="A37" i="42" s="1"/>
  <c r="A38" i="42" s="1"/>
  <c r="A39" i="42" s="1"/>
  <c r="A40" i="42" s="1"/>
  <c r="A41" i="42" s="1"/>
  <c r="A42" i="42" s="1"/>
  <c r="A43" i="42" s="1"/>
  <c r="A44" i="42" s="1"/>
  <c r="A45" i="42" s="1"/>
  <c r="A46" i="42" s="1"/>
  <c r="A47" i="42" s="1"/>
  <c r="A48" i="42" s="1"/>
  <c r="A49" i="42" s="1"/>
  <c r="A50" i="42" s="1"/>
  <c r="A51" i="42" s="1"/>
  <c r="A52" i="42" s="1"/>
  <c r="A53" i="42" s="1"/>
  <c r="A54" i="42" s="1"/>
  <c r="A55" i="42" s="1"/>
  <c r="A56" i="42" s="1"/>
  <c r="A57" i="42" s="1"/>
  <c r="A58" i="42" s="1"/>
  <c r="A59" i="42" s="1"/>
  <c r="A60" i="42" s="1"/>
  <c r="A61" i="42" s="1"/>
  <c r="A62" i="42" s="1"/>
  <c r="A63" i="42" s="1"/>
  <c r="A64" i="42" s="1"/>
  <c r="A65" i="42" s="1"/>
  <c r="A66" i="42" s="1"/>
  <c r="A67" i="42" s="1"/>
  <c r="A68" i="42" s="1"/>
  <c r="A69" i="42" s="1"/>
  <c r="A70" i="42" s="1"/>
  <c r="A71" i="42" s="1"/>
  <c r="A72" i="42" s="1"/>
  <c r="A73" i="42" s="1"/>
  <c r="A74" i="42" s="1"/>
  <c r="A75" i="42" s="1"/>
  <c r="A76" i="42" s="1"/>
  <c r="A77" i="42" s="1"/>
  <c r="A78" i="42" s="1"/>
  <c r="A79" i="42" s="1"/>
  <c r="A80" i="42" s="1"/>
  <c r="A81" i="42" s="1"/>
  <c r="M72" i="42"/>
  <c r="M63" i="42"/>
  <c r="M43" i="42"/>
  <c r="M42" i="42"/>
  <c r="M41" i="42"/>
  <c r="M40" i="42"/>
  <c r="M39" i="42"/>
  <c r="M38" i="42"/>
  <c r="M35" i="42"/>
  <c r="M34" i="42"/>
  <c r="M33" i="42"/>
  <c r="M32" i="42"/>
  <c r="M31" i="42"/>
  <c r="M30" i="42"/>
  <c r="M29" i="42"/>
  <c r="M27" i="42"/>
  <c r="M26" i="42"/>
  <c r="M25" i="42"/>
  <c r="M24" i="42"/>
  <c r="M23" i="42"/>
  <c r="M22" i="42"/>
  <c r="M21" i="42"/>
  <c r="M19" i="42"/>
  <c r="M18" i="42"/>
  <c r="M15" i="42"/>
  <c r="M14" i="42"/>
  <c r="M13" i="42"/>
  <c r="M12" i="42"/>
  <c r="M11" i="42"/>
  <c r="M10" i="42"/>
  <c r="M9" i="42"/>
  <c r="M8" i="42"/>
  <c r="M7" i="42"/>
  <c r="M6" i="42"/>
  <c r="J6" i="42"/>
  <c r="J7" i="42" s="1"/>
  <c r="J8" i="42" s="1"/>
  <c r="J9" i="42" s="1"/>
  <c r="J10" i="42" s="1"/>
  <c r="J11" i="42" s="1"/>
  <c r="J12" i="42" s="1"/>
  <c r="J13" i="42" s="1"/>
  <c r="J14" i="42" s="1"/>
  <c r="J15" i="42" s="1"/>
  <c r="J16" i="42" s="1"/>
  <c r="J17" i="42" s="1"/>
  <c r="J18" i="42" s="1"/>
  <c r="J19" i="42" s="1"/>
  <c r="J20" i="42" s="1"/>
  <c r="J21" i="42" s="1"/>
  <c r="J22" i="42" s="1"/>
  <c r="J23" i="42" s="1"/>
  <c r="J24" i="42" s="1"/>
  <c r="J25" i="42" s="1"/>
  <c r="J26" i="42" s="1"/>
  <c r="J27" i="42" s="1"/>
  <c r="J28" i="42" s="1"/>
  <c r="J29" i="42" s="1"/>
  <c r="J30" i="42" s="1"/>
  <c r="J31" i="42" s="1"/>
  <c r="J32" i="42" s="1"/>
  <c r="J33" i="42" s="1"/>
  <c r="J34" i="42" s="1"/>
  <c r="J35" i="42" s="1"/>
  <c r="J36" i="42" s="1"/>
  <c r="J37" i="42" s="1"/>
  <c r="J38" i="42" s="1"/>
  <c r="J39" i="42" s="1"/>
  <c r="J40" i="42" s="1"/>
  <c r="J41" i="42" s="1"/>
  <c r="J42" i="42" s="1"/>
  <c r="J43" i="42" s="1"/>
  <c r="J44" i="42" s="1"/>
  <c r="J45" i="42" s="1"/>
  <c r="J46" i="42" s="1"/>
  <c r="J47" i="42" s="1"/>
  <c r="J48" i="42" s="1"/>
  <c r="J49" i="42" s="1"/>
  <c r="J50" i="42" s="1"/>
  <c r="J51" i="42" s="1"/>
  <c r="J52" i="42" s="1"/>
  <c r="J53" i="42" s="1"/>
  <c r="J54" i="42" s="1"/>
  <c r="J55" i="42" s="1"/>
  <c r="J56" i="42" s="1"/>
  <c r="J57" i="42" s="1"/>
  <c r="J58" i="42" s="1"/>
  <c r="J59" i="42" s="1"/>
  <c r="J60" i="42" s="1"/>
  <c r="J61" i="42" s="1"/>
  <c r="J62" i="42" s="1"/>
  <c r="J63" i="42" s="1"/>
  <c r="J64" i="42" s="1"/>
  <c r="J65" i="42" s="1"/>
  <c r="J66" i="42" s="1"/>
  <c r="J67" i="42" s="1"/>
  <c r="J68" i="42" s="1"/>
  <c r="J69" i="42" s="1"/>
  <c r="J70" i="42" s="1"/>
  <c r="J71" i="42" s="1"/>
  <c r="J72" i="42" s="1"/>
  <c r="J73" i="42" s="1"/>
  <c r="J74" i="42" s="1"/>
  <c r="J75" i="42" s="1"/>
  <c r="J76" i="42" s="1"/>
  <c r="J77" i="42" s="1"/>
  <c r="J78" i="42" s="1"/>
  <c r="J79" i="42" s="1"/>
  <c r="J80" i="42" s="1"/>
  <c r="J81" i="42" s="1"/>
  <c r="M5" i="42"/>
  <c r="L83" i="41" l="1"/>
  <c r="L84" i="41" s="1"/>
  <c r="L85" i="41" s="1"/>
  <c r="L86" i="41" s="1"/>
  <c r="L87" i="41" s="1"/>
  <c r="L88" i="41" s="1"/>
  <c r="L89" i="41" s="1"/>
  <c r="L90" i="41" s="1"/>
  <c r="L91" i="41" s="1"/>
  <c r="L92" i="41" s="1"/>
  <c r="L93" i="41" s="1"/>
  <c r="L94" i="41" s="1"/>
  <c r="L95" i="41" s="1"/>
  <c r="L96" i="41" s="1"/>
  <c r="L97" i="41" s="1"/>
  <c r="L98" i="41" s="1"/>
  <c r="L99" i="41" s="1"/>
  <c r="L100" i="41" s="1"/>
  <c r="L101" i="41" s="1"/>
  <c r="L102" i="41" s="1"/>
  <c r="L103" i="41" s="1"/>
  <c r="L104" i="41" s="1"/>
  <c r="L105" i="41" s="1"/>
  <c r="L106" i="41" s="1"/>
  <c r="L107" i="41" s="1"/>
  <c r="L108" i="41" s="1"/>
  <c r="L109" i="41" s="1"/>
  <c r="L110" i="41" s="1"/>
  <c r="L111" i="41" s="1"/>
  <c r="L112" i="41" s="1"/>
  <c r="L113" i="41" s="1"/>
  <c r="L114" i="41" s="1"/>
  <c r="L115" i="41" s="1"/>
  <c r="L116" i="41" s="1"/>
  <c r="L117" i="41" s="1"/>
  <c r="L118" i="41" s="1"/>
  <c r="L119" i="41" s="1"/>
  <c r="L120" i="41" s="1"/>
  <c r="L121" i="41" s="1"/>
  <c r="L122" i="41" s="1"/>
  <c r="L123" i="41" s="1"/>
  <c r="L124" i="41" s="1"/>
  <c r="L125" i="41" s="1"/>
  <c r="L126" i="41" s="1"/>
  <c r="L127" i="41" s="1"/>
  <c r="L128" i="41" s="1"/>
  <c r="L129" i="41" s="1"/>
  <c r="L130" i="41" s="1"/>
  <c r="L131" i="41" s="1"/>
  <c r="L132" i="41" s="1"/>
  <c r="L133" i="41" s="1"/>
  <c r="L134" i="41" s="1"/>
  <c r="L135" i="41" s="1"/>
  <c r="L136" i="41" s="1"/>
  <c r="L137" i="41" s="1"/>
  <c r="L138" i="41" s="1"/>
  <c r="L139" i="41" s="1"/>
  <c r="L140" i="41" s="1"/>
  <c r="L141" i="41" s="1"/>
  <c r="L142" i="41" s="1"/>
  <c r="L143" i="41" s="1"/>
  <c r="L144" i="41" s="1"/>
  <c r="L145" i="41" s="1"/>
  <c r="L146" i="41" s="1"/>
  <c r="L147" i="41" s="1"/>
  <c r="L148" i="41" s="1"/>
  <c r="L149" i="41" s="1"/>
  <c r="L150" i="41" s="1"/>
  <c r="L151" i="41" s="1"/>
  <c r="L152" i="41" s="1"/>
  <c r="L153" i="41" s="1"/>
  <c r="L154" i="41" s="1"/>
  <c r="L155" i="41" s="1"/>
  <c r="L156" i="41" s="1"/>
  <c r="L157" i="41" s="1"/>
  <c r="L158" i="41" s="1"/>
  <c r="O149" i="41" l="1"/>
  <c r="O140" i="41"/>
  <c r="O120" i="41"/>
  <c r="O119" i="41"/>
  <c r="O118" i="41"/>
  <c r="O117" i="41"/>
  <c r="O116" i="41"/>
  <c r="O115" i="41"/>
  <c r="O112" i="41"/>
  <c r="O111" i="41"/>
  <c r="O110" i="41"/>
  <c r="O109" i="41"/>
  <c r="O108" i="41"/>
  <c r="O107" i="41"/>
  <c r="O106" i="41"/>
  <c r="O104" i="41"/>
  <c r="O103" i="41"/>
  <c r="O102" i="41"/>
  <c r="O101" i="41"/>
  <c r="O100" i="41"/>
  <c r="O99" i="41"/>
  <c r="O98" i="41"/>
  <c r="O96" i="41"/>
  <c r="O95" i="41"/>
  <c r="O92" i="41"/>
  <c r="O91" i="41"/>
  <c r="O90" i="41"/>
  <c r="O89" i="41"/>
  <c r="O88" i="41"/>
  <c r="O87" i="41"/>
  <c r="O86" i="41"/>
  <c r="O85" i="41"/>
  <c r="O84" i="41"/>
  <c r="O83" i="41"/>
  <c r="O82" i="41"/>
  <c r="O81" i="41"/>
  <c r="O80" i="41"/>
  <c r="O79" i="41"/>
  <c r="O78" i="41"/>
  <c r="O77" i="41"/>
  <c r="O76" i="41"/>
  <c r="O75" i="41"/>
  <c r="O74" i="41"/>
  <c r="O73" i="41"/>
  <c r="O72" i="41"/>
  <c r="O71" i="41"/>
  <c r="O70" i="41"/>
  <c r="O69" i="41"/>
  <c r="O68" i="41"/>
  <c r="O67" i="41"/>
  <c r="O66" i="41"/>
  <c r="O65" i="41"/>
  <c r="O64" i="41"/>
  <c r="O63" i="41"/>
  <c r="O62" i="41"/>
  <c r="O61" i="41"/>
  <c r="O60" i="41"/>
  <c r="O59" i="41"/>
  <c r="O58" i="41"/>
  <c r="O57" i="41"/>
  <c r="O54" i="41"/>
  <c r="O53" i="41"/>
  <c r="O52" i="41"/>
  <c r="O51" i="41"/>
  <c r="O50" i="41"/>
  <c r="O49" i="41"/>
  <c r="O48" i="41"/>
  <c r="O47" i="41"/>
  <c r="O46" i="41"/>
  <c r="O45" i="41"/>
  <c r="O44" i="41"/>
  <c r="O43" i="41"/>
  <c r="O41" i="41"/>
  <c r="O37" i="41"/>
  <c r="O34" i="41"/>
  <c r="O33" i="41"/>
  <c r="O31" i="41"/>
  <c r="O29" i="41"/>
  <c r="O25" i="41"/>
  <c r="F149" i="41" l="1"/>
  <c r="F140" i="41"/>
  <c r="F120" i="41"/>
  <c r="F119" i="41"/>
  <c r="F118" i="41"/>
  <c r="F117" i="41"/>
  <c r="F116" i="41"/>
  <c r="F115" i="41"/>
  <c r="F112" i="41"/>
  <c r="F111" i="41"/>
  <c r="F110" i="41"/>
  <c r="F109" i="41"/>
  <c r="F108" i="41"/>
  <c r="F107" i="41"/>
  <c r="F106" i="41"/>
  <c r="F104" i="41"/>
  <c r="F103" i="41"/>
  <c r="F102" i="41"/>
  <c r="F101" i="41"/>
  <c r="F100" i="41"/>
  <c r="F99" i="41"/>
  <c r="F98" i="41"/>
  <c r="F96" i="41"/>
  <c r="F95" i="41"/>
  <c r="F92" i="41"/>
  <c r="F91" i="41"/>
  <c r="F90" i="41"/>
  <c r="F89" i="41"/>
  <c r="F88" i="41"/>
  <c r="F87" i="41"/>
  <c r="F86" i="41"/>
  <c r="F85" i="41"/>
  <c r="F84" i="41"/>
  <c r="F83" i="41"/>
  <c r="F82" i="41"/>
  <c r="F81" i="41"/>
  <c r="F80" i="41"/>
  <c r="F79" i="41"/>
  <c r="F78" i="41"/>
  <c r="F77" i="41"/>
  <c r="F76" i="41"/>
  <c r="F75" i="41"/>
  <c r="F74" i="41"/>
  <c r="F73" i="41"/>
  <c r="F72" i="41"/>
  <c r="F71" i="41"/>
  <c r="F70" i="41"/>
  <c r="F69" i="41"/>
  <c r="F68" i="41"/>
  <c r="F67" i="41"/>
  <c r="F66" i="41"/>
  <c r="F65" i="41"/>
  <c r="F64" i="41"/>
  <c r="F63" i="41"/>
  <c r="F62" i="41"/>
  <c r="F61" i="41"/>
  <c r="F60" i="41"/>
  <c r="F59" i="41"/>
  <c r="F58" i="41"/>
  <c r="F57" i="41"/>
  <c r="F54" i="41"/>
  <c r="F53" i="41"/>
  <c r="F52" i="41"/>
  <c r="F51" i="41"/>
  <c r="F50" i="41"/>
  <c r="F49" i="41"/>
  <c r="F48" i="41"/>
  <c r="F47" i="41"/>
  <c r="F46" i="41"/>
  <c r="F45" i="41"/>
  <c r="F44" i="41"/>
  <c r="F43" i="41"/>
  <c r="F41" i="41"/>
  <c r="F37" i="41"/>
  <c r="F34" i="41"/>
  <c r="F33" i="41"/>
  <c r="F31" i="41"/>
  <c r="F29" i="41"/>
  <c r="F25" i="41"/>
  <c r="E13" i="40" l="1"/>
  <c r="E14" i="40" s="1"/>
  <c r="J25" i="38" l="1"/>
  <c r="G3" i="38"/>
  <c r="N6" i="14" l="1"/>
  <c r="O14" i="14"/>
  <c r="N17" i="14"/>
  <c r="O10" i="3" l="1"/>
  <c r="N13" i="3"/>
  <c r="F17" i="39" l="1"/>
  <c r="C6" i="39"/>
  <c r="D8" i="11"/>
  <c r="C8" i="39"/>
  <c r="F8" i="39" s="1"/>
  <c r="C7" i="39"/>
  <c r="C15" i="39"/>
  <c r="F15" i="39" s="1"/>
  <c r="C9" i="39"/>
  <c r="F9" i="39" s="1"/>
  <c r="C13" i="39"/>
  <c r="F13" i="39" s="1"/>
  <c r="C12" i="39"/>
  <c r="C11" i="39"/>
  <c r="C10" i="39"/>
  <c r="F10" i="39" s="1"/>
  <c r="C16" i="39"/>
  <c r="F16" i="39" s="1"/>
  <c r="F14" i="39"/>
  <c r="F12" i="39"/>
  <c r="F11" i="39"/>
  <c r="F6" i="39"/>
  <c r="F7" i="39"/>
  <c r="G9" i="11"/>
  <c r="F19" i="39" l="1"/>
  <c r="G19" i="39" s="1"/>
  <c r="D7" i="11" s="1"/>
  <c r="K10" i="14" l="1"/>
  <c r="K9" i="14"/>
  <c r="K8" i="14"/>
  <c r="L8" i="14" s="1"/>
  <c r="G25" i="38"/>
  <c r="G24" i="38"/>
  <c r="G23" i="38"/>
  <c r="G20" i="38"/>
  <c r="G19" i="38"/>
  <c r="G18" i="38"/>
  <c r="G15" i="38"/>
  <c r="G14" i="38"/>
  <c r="G13" i="38"/>
  <c r="G10" i="38"/>
  <c r="G9" i="38"/>
  <c r="G8" i="38"/>
  <c r="F26" i="38"/>
  <c r="G26" i="38" s="1"/>
  <c r="D26" i="38"/>
  <c r="F21" i="38"/>
  <c r="D21" i="38"/>
  <c r="F16" i="38"/>
  <c r="G16" i="38" s="1"/>
  <c r="D16" i="38"/>
  <c r="F11" i="38"/>
  <c r="D11" i="38"/>
  <c r="G14" i="15"/>
  <c r="M12" i="14"/>
  <c r="H7" i="11"/>
  <c r="I7" i="11" s="1"/>
  <c r="J7" i="11" s="1"/>
  <c r="H8" i="11"/>
  <c r="I8" i="11" s="1"/>
  <c r="J8" i="11" s="1"/>
  <c r="G13" i="3"/>
  <c r="H10" i="3"/>
  <c r="H14" i="13"/>
  <c r="O14" i="13"/>
  <c r="H11" i="15"/>
  <c r="O11" i="15"/>
  <c r="H14" i="18"/>
  <c r="O14" i="18"/>
  <c r="C14" i="14"/>
  <c r="C18" i="14" s="1"/>
  <c r="N24" i="14"/>
  <c r="N23" i="14"/>
  <c r="N22" i="14"/>
  <c r="G11" i="38" l="1"/>
  <c r="G21" i="38"/>
  <c r="F6" i="38"/>
  <c r="G5" i="38"/>
  <c r="C14" i="18"/>
  <c r="G4" i="38"/>
  <c r="C11" i="15"/>
  <c r="L10" i="3"/>
  <c r="L13" i="3" s="1"/>
  <c r="C7" i="16" s="1"/>
  <c r="D7" i="16" s="1"/>
  <c r="O22" i="14"/>
  <c r="D6" i="38"/>
  <c r="K11" i="14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L8" i="18"/>
  <c r="G6" i="38" l="1"/>
  <c r="G27" i="38" s="1"/>
  <c r="C15" i="15"/>
  <c r="C18" i="18"/>
  <c r="F7" i="4" l="1"/>
  <c r="F8" i="4"/>
  <c r="F9" i="4"/>
  <c r="F10" i="4"/>
  <c r="F11" i="4"/>
  <c r="F6" i="4" l="1"/>
  <c r="F12" i="4" s="1"/>
  <c r="G12" i="4" s="1"/>
  <c r="G8" i="11"/>
  <c r="G17" i="13"/>
  <c r="N17" i="13"/>
  <c r="N14" i="15"/>
  <c r="D5" i="15" s="1"/>
  <c r="G17" i="18"/>
  <c r="N17" i="18"/>
  <c r="D4" i="18" s="1"/>
  <c r="D7" i="13" l="1"/>
  <c r="G17" i="14"/>
  <c r="H14" i="14" s="1"/>
  <c r="L14" i="13"/>
  <c r="L18" i="13" s="1"/>
  <c r="D6" i="3"/>
  <c r="D3" i="14" l="1"/>
  <c r="G7" i="11"/>
  <c r="G10" i="11" l="1"/>
  <c r="G11" i="11" s="1"/>
  <c r="B22" i="14" s="1"/>
  <c r="B23" i="14" s="1"/>
  <c r="D11" i="15" l="1"/>
  <c r="E11" i="15" s="1"/>
  <c r="D14" i="14"/>
  <c r="D18" i="14" s="1"/>
  <c r="D14" i="18"/>
  <c r="E14" i="18" s="1"/>
  <c r="E14" i="14" l="1"/>
  <c r="I14" i="14" s="1"/>
  <c r="I14" i="18"/>
  <c r="I11" i="15"/>
  <c r="I15" i="15" s="1"/>
  <c r="L14" i="18" l="1"/>
  <c r="L14" i="14"/>
  <c r="L11" i="15"/>
  <c r="C6" i="16" l="1"/>
  <c r="D6" i="16" s="1"/>
  <c r="D18" i="18" l="1"/>
  <c r="D15" i="15"/>
  <c r="E15" i="15" l="1"/>
  <c r="E18" i="18"/>
  <c r="E18" i="14"/>
  <c r="L18" i="14" l="1"/>
  <c r="I18" i="14"/>
  <c r="L15" i="15"/>
  <c r="L18" i="18"/>
  <c r="I18" i="18"/>
  <c r="C5" i="16" l="1"/>
  <c r="D5" i="16" s="1"/>
  <c r="C4" i="16"/>
  <c r="D4" i="16" s="1"/>
  <c r="C3" i="16"/>
  <c r="D3" i="16" s="1"/>
  <c r="C8" i="16" l="1"/>
  <c r="G8" i="16" l="1"/>
  <c r="H8" i="16" s="1"/>
  <c r="D8" i="16"/>
  <c r="C10" i="16"/>
  <c r="C9" i="16"/>
  <c r="E6" i="16" l="1"/>
  <c r="E8" i="16"/>
  <c r="E7" i="16"/>
  <c r="E3" i="16"/>
  <c r="E4" i="16"/>
  <c r="E5" i="16"/>
  <c r="C11" i="16"/>
</calcChain>
</file>

<file path=xl/sharedStrings.xml><?xml version="1.0" encoding="utf-8"?>
<sst xmlns="http://schemas.openxmlformats.org/spreadsheetml/2006/main" count="411" uniqueCount="194">
  <si>
    <t xml:space="preserve">Agreement No </t>
  </si>
  <si>
    <t>Name of Agency</t>
  </si>
  <si>
    <t>Name of Work</t>
  </si>
  <si>
    <t>Date of Receipt</t>
  </si>
  <si>
    <t>Month</t>
  </si>
  <si>
    <t>Material</t>
  </si>
  <si>
    <t>Cement</t>
  </si>
  <si>
    <t>Total</t>
  </si>
  <si>
    <t>Quantity</t>
  </si>
  <si>
    <t>Unit</t>
  </si>
  <si>
    <t>Amount</t>
  </si>
  <si>
    <t>STATEMENT SHOWING CALCULATION OF PRICE ESCALATION</t>
  </si>
  <si>
    <t>Percentage of Components as per agrement</t>
  </si>
  <si>
    <t>Period of work done considered for price Escalation</t>
  </si>
  <si>
    <t>R A Bill No 01</t>
  </si>
  <si>
    <t>2 MATERIAL</t>
  </si>
  <si>
    <t>1 LABOUR</t>
  </si>
  <si>
    <t>3 P.O.L.</t>
  </si>
  <si>
    <t>BASIC INDICES</t>
  </si>
  <si>
    <t>1. LABOUR</t>
  </si>
  <si>
    <t>2. MATERIAL</t>
  </si>
  <si>
    <t>3. P.O.L.</t>
  </si>
  <si>
    <t>4. CEMENT</t>
  </si>
  <si>
    <t>5. STEEL</t>
  </si>
  <si>
    <t>STAR RATE OF CEMENT</t>
  </si>
  <si>
    <t>STAR RATE OF STEEL</t>
  </si>
  <si>
    <t>CEMENT CONSUMPTION STATEMENT</t>
  </si>
  <si>
    <t>Name of Work:- Construction of Inftrastructure Project for National Institute of Post Harvest Technology at Talegaon Dabhade Dist Pune</t>
  </si>
  <si>
    <t>Name of Contractor:- Prakash Constroweel Limited Nasik. Tal &amp; Dist Nasik.</t>
  </si>
  <si>
    <t>Item No.</t>
  </si>
  <si>
    <t>Item of work in brief.</t>
  </si>
  <si>
    <t>Executed Quantity</t>
  </si>
  <si>
    <t>Therotical rate of consumption of Bitumen/Cement</t>
  </si>
  <si>
    <t>Bitumen in M.T./ Cement in Bags</t>
  </si>
  <si>
    <t>Remarks.</t>
  </si>
  <si>
    <t>Required as per theoretical calculations.</t>
  </si>
  <si>
    <t xml:space="preserve">P &amp; L in situ c.c  1:3:6 </t>
  </si>
  <si>
    <t>Cum</t>
  </si>
  <si>
    <t>M.B.No       P.No</t>
  </si>
  <si>
    <t>P &amp; L in situ c.c  1:4:8</t>
  </si>
  <si>
    <t>P &amp; L M-20 for Footing</t>
  </si>
  <si>
    <t>P &amp; L M-20 for Column</t>
  </si>
  <si>
    <t>P &amp; L M-20 for Beam</t>
  </si>
  <si>
    <t>P &amp; L M-20 for Slab</t>
  </si>
  <si>
    <t>BBM in CM 1:6</t>
  </si>
  <si>
    <t xml:space="preserve"> M.T.</t>
  </si>
  <si>
    <t>P &amp; L M-20 for Lintel</t>
  </si>
  <si>
    <t>P &amp; L M-20 for Paradi</t>
  </si>
  <si>
    <t>P &amp; L M-20 for Chajja</t>
  </si>
  <si>
    <t>Plaster 20 mm</t>
  </si>
  <si>
    <t>BBM in CM 1:4</t>
  </si>
  <si>
    <t>Bill No.</t>
  </si>
  <si>
    <t>Rate</t>
  </si>
  <si>
    <t>R.A.Bill no.01</t>
  </si>
  <si>
    <t>M.T</t>
  </si>
  <si>
    <t>Total R.A.Bill No.01</t>
  </si>
  <si>
    <t>TMT</t>
  </si>
  <si>
    <t>Grand Total</t>
  </si>
  <si>
    <t>DETAILS OF MATERIAL CONSUMED IN THIS BILL</t>
  </si>
  <si>
    <t>Monthly Indices for Cement</t>
  </si>
  <si>
    <r>
      <t xml:space="preserve">Quarterly average Index </t>
    </r>
    <r>
      <rPr>
        <sz val="12"/>
        <rFont val="Calibri"/>
        <family val="2"/>
      </rPr>
      <t>Cement</t>
    </r>
  </si>
  <si>
    <t>C0 (CI1-CI0) x T
CI0</t>
  </si>
  <si>
    <t>S0 (SI1-SI0) x T
SI0</t>
  </si>
  <si>
    <t>K1/100</t>
  </si>
  <si>
    <t>K3/100</t>
  </si>
  <si>
    <t>Description</t>
  </si>
  <si>
    <t>TMT Steel</t>
  </si>
  <si>
    <t>Labour</t>
  </si>
  <si>
    <t>P.O.L</t>
  </si>
  <si>
    <t>Agreement No.:- B-1/CE/1 for 2011-2012</t>
  </si>
  <si>
    <t>Material Component</t>
  </si>
  <si>
    <t>Sr. No.</t>
  </si>
  <si>
    <t>K2/100</t>
  </si>
  <si>
    <t>Ceiling Plaster</t>
  </si>
  <si>
    <t>Sand Faced Plaster</t>
  </si>
  <si>
    <t>Ceramic flooring</t>
  </si>
  <si>
    <t>Dado</t>
  </si>
  <si>
    <t>Vitrified Flooring Tiles</t>
  </si>
  <si>
    <t>Granite Skirting</t>
  </si>
  <si>
    <t>Vitrified Skirting</t>
  </si>
  <si>
    <t>Granite flooring for steps</t>
  </si>
  <si>
    <t>Waterproofing for terrace</t>
  </si>
  <si>
    <t>Waterproofing for W.C</t>
  </si>
  <si>
    <t>Sr.no.</t>
  </si>
  <si>
    <t>Total Quantity</t>
  </si>
  <si>
    <t>Granite for door frame</t>
  </si>
  <si>
    <t>R.A. Bill No. 1</t>
  </si>
  <si>
    <t>R.A. Bill No. 2</t>
  </si>
  <si>
    <t>R.A. Bill No. 3</t>
  </si>
  <si>
    <t>R.A. Bill No. 4</t>
  </si>
  <si>
    <t>R.A. Bill No. 5</t>
  </si>
  <si>
    <t>R.A. Bill No. 6</t>
  </si>
  <si>
    <t>R.A. Bill No. 7</t>
  </si>
  <si>
    <t>R.A. Bill No. 8</t>
  </si>
  <si>
    <t>R.A. Bill No. 9</t>
  </si>
  <si>
    <t>R.A. Bill No. 10</t>
  </si>
  <si>
    <t>R.A. Bill No. 11</t>
  </si>
  <si>
    <t>R.A. Bill No. 12</t>
  </si>
  <si>
    <t>P &amp; L M-20 for Steps</t>
  </si>
  <si>
    <t xml:space="preserve">Black Granite stone for treads and risers </t>
  </si>
  <si>
    <t>P &amp; L M-20 for coping</t>
  </si>
  <si>
    <t>Bill No.- Ist R.A.Bill</t>
  </si>
  <si>
    <t xml:space="preserve">R. A. Bill No. </t>
  </si>
  <si>
    <t xml:space="preserve">Construction of work done (B) during the period (As per column No 1 After deducting the amount of Extra items </t>
  </si>
  <si>
    <t xml:space="preserve"> =VL x (K2/100) x(M1-M0)/M0
</t>
  </si>
  <si>
    <t>P = ( 3- 4 )</t>
  </si>
  <si>
    <t>VL =
(P x 0.85)</t>
  </si>
  <si>
    <t xml:space="preserve"> = P (-) 
Cost of Schedule "A" Material used</t>
  </si>
  <si>
    <t>Cost of Schedule A (Cement &amp; Steel) Material consumed for the work done during the period</t>
  </si>
  <si>
    <t>Monthly Indices for Labour</t>
  </si>
  <si>
    <t>Monthly Indices for Other material</t>
  </si>
  <si>
    <t>Monthly Indices for P.O.L</t>
  </si>
  <si>
    <t>Monthly Indices for Steel</t>
  </si>
  <si>
    <t xml:space="preserve"> = VL x(K1/100)x(L1-L0)/L0
</t>
  </si>
  <si>
    <t xml:space="preserve"> =VL x(K1/100)x(P1-P0)/P0
</t>
  </si>
  <si>
    <r>
      <t xml:space="preserve">Quarterly average Index </t>
    </r>
    <r>
      <rPr>
        <sz val="12"/>
        <rFont val="Calibri"/>
        <family val="2"/>
      </rPr>
      <t>Labour</t>
    </r>
  </si>
  <si>
    <r>
      <t xml:space="preserve">Quarterly average Index </t>
    </r>
    <r>
      <rPr>
        <sz val="12"/>
        <rFont val="Calibri"/>
        <family val="2"/>
      </rPr>
      <t>Other material</t>
    </r>
  </si>
  <si>
    <r>
      <t xml:space="preserve">Quarterly average Index </t>
    </r>
    <r>
      <rPr>
        <sz val="12"/>
        <rFont val="Calibri"/>
        <family val="2"/>
      </rPr>
      <t>P.O.L</t>
    </r>
  </si>
  <si>
    <r>
      <t xml:space="preserve">Quarterly average Index </t>
    </r>
    <r>
      <rPr>
        <sz val="12"/>
        <rFont val="Calibri"/>
        <family val="2"/>
      </rPr>
      <t>Steel</t>
    </r>
  </si>
  <si>
    <t>Other Material</t>
  </si>
  <si>
    <t>POL</t>
  </si>
  <si>
    <t>CEMENT</t>
  </si>
  <si>
    <t>Indices at Tender</t>
  </si>
  <si>
    <t>Current Indices</t>
  </si>
  <si>
    <t>Average</t>
  </si>
  <si>
    <t>INDICES</t>
  </si>
  <si>
    <t>A</t>
  </si>
  <si>
    <t>B</t>
  </si>
  <si>
    <t>C</t>
  </si>
  <si>
    <t>D</t>
  </si>
  <si>
    <t>E</t>
  </si>
  <si>
    <t>Total Amount</t>
  </si>
  <si>
    <t>LABOUR</t>
  </si>
  <si>
    <t>OTHER MATERIAL</t>
  </si>
  <si>
    <t>P. O. L.</t>
  </si>
  <si>
    <t>STEEL</t>
  </si>
  <si>
    <t>Total After GST</t>
  </si>
  <si>
    <t>SUMMARY</t>
  </si>
  <si>
    <t>4700 Rs per MT</t>
  </si>
  <si>
    <t>45785 Rs per MT</t>
  </si>
  <si>
    <t>: M/s UNIVASTU INDIA LTD</t>
  </si>
  <si>
    <t>Construction of sub market at khedshivapur</t>
  </si>
  <si>
    <t>M-15 Grade</t>
  </si>
  <si>
    <t>M-20 Grade</t>
  </si>
  <si>
    <t>Structural Steel</t>
  </si>
  <si>
    <t>Tremix M-20 Grade</t>
  </si>
  <si>
    <t>Total M-20 Garde</t>
  </si>
  <si>
    <t>Tremix M-30 Grade</t>
  </si>
  <si>
    <t>Name of Work:- Construction of sub market at Khedshivapur</t>
  </si>
  <si>
    <t>Name of Contractor:- UNIVASTU INDIA LTD</t>
  </si>
  <si>
    <t xml:space="preserve">Bill No.- </t>
  </si>
  <si>
    <t>CGST 9%</t>
  </si>
  <si>
    <t>SGST 9%</t>
  </si>
  <si>
    <t>Total In Bag</t>
  </si>
  <si>
    <t>Cement use for other activity like plaster, flooring, eaterproofing etc.</t>
  </si>
  <si>
    <t xml:space="preserve">% Above/ Below </t>
  </si>
  <si>
    <t>Remark</t>
  </si>
  <si>
    <t xml:space="preserve">Name Of Project </t>
  </si>
  <si>
    <t>CONSTRUCTION OF PROPOSED SUB MARKET AT KHEDSHIVAPUR, DIST. PUNE FOR KRUSHI UTPANNA BAZAR SAMITI SHREE CHATRAPATI SHIVAJI MARKET YARD, PUNE</t>
  </si>
  <si>
    <t>Cost Of Tender</t>
  </si>
  <si>
    <t xml:space="preserve">Completion Period </t>
  </si>
  <si>
    <t>24 Months</t>
  </si>
  <si>
    <t>Tender Submission Last Date</t>
  </si>
  <si>
    <t>31/08/2019</t>
  </si>
  <si>
    <t>Work Order Date</t>
  </si>
  <si>
    <t>19/09/2019</t>
  </si>
  <si>
    <t>Our Final Quoted Amount</t>
  </si>
  <si>
    <t xml:space="preserve">Labour </t>
  </si>
  <si>
    <t xml:space="preserve">POL  </t>
  </si>
  <si>
    <t xml:space="preserve">Other Material </t>
  </si>
  <si>
    <t xml:space="preserve">TMT </t>
  </si>
  <si>
    <t xml:space="preserve">CEMENT </t>
  </si>
  <si>
    <t>Structural steel</t>
  </si>
  <si>
    <t>: 31.08.2019</t>
  </si>
  <si>
    <t xml:space="preserve">Rs. 24,73,80,891/-  + GST </t>
  </si>
  <si>
    <t>Rs. 23,04,95,000/- (6.83 % Below)  + GST</t>
  </si>
  <si>
    <t>SUMMARY OF ESCALATION BILL</t>
  </si>
  <si>
    <t>Amount As per Escalation Rs.</t>
  </si>
  <si>
    <t>Amount As per Escalation Rs. Crore</t>
  </si>
  <si>
    <t>% wrt Total Amount</t>
  </si>
  <si>
    <t>Required as per theoretical calculations. Bag</t>
  </si>
  <si>
    <t>Therotical rate of consumption of Bitumen/Cement Bag per Unit</t>
  </si>
  <si>
    <t>INDICES - Pune</t>
  </si>
  <si>
    <t>Name of Client</t>
  </si>
  <si>
    <t>Name of Contractor</t>
  </si>
  <si>
    <t xml:space="preserve">Work Order No. </t>
  </si>
  <si>
    <t>Krushi Utpanna Bazar Samitee, Market Yard, Pune- 411037</t>
  </si>
  <si>
    <t>M/s UNIVASTU INDIA LTD</t>
  </si>
  <si>
    <t>जा. क्र. प्रजा/स्थापत्य/उ. बा. खेडशीवापूर/आठ. बाजार/वर्क ऑर्डर/ २०७७/२०१९-२० दि. १९/०९/२०१९</t>
  </si>
  <si>
    <t xml:space="preserve">WO No.:- </t>
  </si>
  <si>
    <t>01</t>
  </si>
  <si>
    <t>Basic</t>
  </si>
  <si>
    <t>Linking Factor</t>
  </si>
  <si>
    <t>Final 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</si>
</sst>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0.0"/>
  </numFmts>
  <fonts count="23" x14ac:knownFonts="1"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164" fontId="5" fillId="0" borderId="0" applyFont="0" applyFill="0" applyBorder="0" applyAlignment="0" applyProtection="0"/>
    <xf numFmtId="0" fontId="9" fillId="0" borderId="0"/>
    <xf numFmtId="0" fontId="9" fillId="0" borderId="0"/>
    <xf numFmtId="0" fontId="6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/>
    <xf numFmtId="0" fontId="1" fillId="0" borderId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  <xf numFmtId="0" fontId="5" fillId="0" borderId="0"/>
  </cellStyleXfs>
  <cellXfs count="23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11" fillId="0" borderId="1" xfId="0" applyFont="1" applyBorder="1" applyAlignment="1">
      <alignment horizontal="center" vertical="top" wrapText="1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5"/>
    </xf>
    <xf numFmtId="10" fontId="0" fillId="0" borderId="1" xfId="0" applyNumberFormat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0" xfId="2" applyFont="1" applyAlignment="1">
      <alignment vertical="center"/>
    </xf>
    <xf numFmtId="0" fontId="12" fillId="0" borderId="0" xfId="2" applyFont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1" xfId="2" applyFont="1" applyBorder="1" applyAlignment="1">
      <alignment vertical="center"/>
    </xf>
    <xf numFmtId="2" fontId="13" fillId="0" borderId="1" xfId="2" applyNumberFormat="1" applyFont="1" applyBorder="1" applyAlignment="1">
      <alignment horizontal="center" vertical="center"/>
    </xf>
    <xf numFmtId="0" fontId="13" fillId="0" borderId="0" xfId="2" applyFont="1" applyAlignment="1">
      <alignment vertical="center"/>
    </xf>
    <xf numFmtId="165" fontId="12" fillId="0" borderId="0" xfId="2" applyNumberFormat="1" applyFont="1" applyAlignment="1">
      <alignment horizontal="center" vertical="center"/>
    </xf>
    <xf numFmtId="2" fontId="12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165" fontId="13" fillId="0" borderId="0" xfId="2" applyNumberFormat="1" applyFont="1" applyAlignment="1">
      <alignment horizontal="center" vertical="center"/>
    </xf>
    <xf numFmtId="2" fontId="13" fillId="0" borderId="0" xfId="2" applyNumberFormat="1" applyFont="1" applyAlignment="1">
      <alignment horizontal="center" vertical="center"/>
    </xf>
    <xf numFmtId="0" fontId="9" fillId="0" borderId="0" xfId="2"/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vertical="center"/>
    </xf>
    <xf numFmtId="0" fontId="3" fillId="0" borderId="0" xfId="2" applyFont="1" applyAlignment="1">
      <alignment vertical="center"/>
    </xf>
    <xf numFmtId="165" fontId="3" fillId="0" borderId="1" xfId="2" applyNumberFormat="1" applyFont="1" applyBorder="1" applyAlignment="1">
      <alignment horizontal="center" vertical="center"/>
    </xf>
    <xf numFmtId="2" fontId="9" fillId="0" borderId="1" xfId="2" applyNumberFormat="1" applyBorder="1"/>
    <xf numFmtId="2" fontId="0" fillId="0" borderId="0" xfId="0" applyNumberFormat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top" wrapText="1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2" fontId="10" fillId="0" borderId="0" xfId="0" applyNumberFormat="1" applyFont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0" xfId="0" applyNumberFormat="1" applyAlignment="1">
      <alignment vertical="center"/>
    </xf>
    <xf numFmtId="2" fontId="0" fillId="0" borderId="0" xfId="0" applyNumberFormat="1"/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12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vertical="center"/>
    </xf>
    <xf numFmtId="165" fontId="12" fillId="0" borderId="1" xfId="2" applyNumberFormat="1" applyFont="1" applyBorder="1" applyAlignment="1">
      <alignment horizontal="center" vertical="center"/>
    </xf>
    <xf numFmtId="2" fontId="12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vertical="center"/>
    </xf>
    <xf numFmtId="10" fontId="8" fillId="0" borderId="1" xfId="1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vertical="center"/>
    </xf>
    <xf numFmtId="1" fontId="0" fillId="0" borderId="1" xfId="0" applyNumberFormat="1" applyBorder="1" applyAlignment="1">
      <alignment horizontal="left" vertical="center" wrapText="1"/>
    </xf>
    <xf numFmtId="1" fontId="0" fillId="0" borderId="0" xfId="0" applyNumberFormat="1" applyAlignment="1">
      <alignment vertical="center"/>
    </xf>
    <xf numFmtId="1" fontId="0" fillId="0" borderId="0" xfId="0" applyNumberFormat="1"/>
    <xf numFmtId="2" fontId="0" fillId="0" borderId="1" xfId="0" applyNumberFormat="1" applyBorder="1" applyAlignment="1">
      <alignment horizontal="center"/>
    </xf>
    <xf numFmtId="0" fontId="13" fillId="0" borderId="1" xfId="2" applyFont="1" applyBorder="1" applyAlignment="1">
      <alignment horizontal="center" vertical="top"/>
    </xf>
    <xf numFmtId="0" fontId="15" fillId="0" borderId="0" xfId="0" applyFont="1"/>
    <xf numFmtId="2" fontId="15" fillId="0" borderId="0" xfId="0" applyNumberFormat="1" applyFont="1"/>
    <xf numFmtId="0" fontId="16" fillId="0" borderId="1" xfId="2" applyFont="1" applyBorder="1" applyAlignment="1">
      <alignment horizontal="center" vertical="center"/>
    </xf>
    <xf numFmtId="0" fontId="16" fillId="0" borderId="1" xfId="2" applyFont="1" applyBorder="1" applyAlignment="1">
      <alignment vertical="center"/>
    </xf>
    <xf numFmtId="2" fontId="7" fillId="0" borderId="1" xfId="0" applyNumberFormat="1" applyFont="1" applyBorder="1"/>
    <xf numFmtId="0" fontId="7" fillId="0" borderId="0" xfId="0" applyFont="1"/>
    <xf numFmtId="0" fontId="7" fillId="0" borderId="1" xfId="0" applyFont="1" applyBorder="1"/>
    <xf numFmtId="165" fontId="7" fillId="0" borderId="1" xfId="0" applyNumberFormat="1" applyFont="1" applyBorder="1"/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vertical="center"/>
    </xf>
    <xf numFmtId="0" fontId="4" fillId="0" borderId="1" xfId="2" applyFon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1" fontId="13" fillId="0" borderId="1" xfId="2" applyNumberFormat="1" applyFont="1" applyBorder="1" applyAlignment="1">
      <alignment horizontal="center" vertical="center"/>
    </xf>
    <xf numFmtId="1" fontId="12" fillId="0" borderId="1" xfId="2" applyNumberFormat="1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17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vertical="center"/>
    </xf>
    <xf numFmtId="0" fontId="7" fillId="0" borderId="1" xfId="3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7" fontId="13" fillId="0" borderId="1" xfId="0" applyNumberFormat="1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2" fontId="13" fillId="0" borderId="12" xfId="0" applyNumberFormat="1" applyFont="1" applyBorder="1" applyAlignment="1">
      <alignment vertical="center" wrapText="1"/>
    </xf>
    <xf numFmtId="2" fontId="13" fillId="0" borderId="13" xfId="0" applyNumberFormat="1" applyFont="1" applyBorder="1" applyAlignment="1">
      <alignment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left" vertical="center"/>
    </xf>
    <xf numFmtId="2" fontId="13" fillId="0" borderId="1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0" fontId="10" fillId="0" borderId="9" xfId="0" applyFont="1" applyBorder="1" applyAlignment="1">
      <alignment vertical="center"/>
    </xf>
    <xf numFmtId="17" fontId="18" fillId="0" borderId="1" xfId="0" applyNumberFormat="1" applyFont="1" applyBorder="1" applyAlignment="1">
      <alignment horizontal="center"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2" fontId="18" fillId="0" borderId="11" xfId="0" applyNumberFormat="1" applyFont="1" applyBorder="1" applyAlignment="1">
      <alignment horizontal="center" vertical="center" wrapText="1"/>
    </xf>
    <xf numFmtId="2" fontId="18" fillId="0" borderId="12" xfId="0" applyNumberFormat="1" applyFont="1" applyBorder="1" applyAlignment="1">
      <alignment vertical="center" wrapText="1"/>
    </xf>
    <xf numFmtId="2" fontId="18" fillId="0" borderId="13" xfId="0" applyNumberFormat="1" applyFont="1" applyBorder="1" applyAlignment="1">
      <alignment vertical="center" wrapText="1"/>
    </xf>
    <xf numFmtId="17" fontId="15" fillId="0" borderId="1" xfId="0" applyNumberFormat="1" applyFont="1" applyBorder="1" applyAlignment="1">
      <alignment horizontal="center" vertical="center"/>
    </xf>
    <xf numFmtId="2" fontId="19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0" fontId="12" fillId="0" borderId="0" xfId="13" applyFont="1" applyAlignment="1">
      <alignment vertical="center"/>
    </xf>
    <xf numFmtId="0" fontId="12" fillId="0" borderId="1" xfId="13" applyFont="1" applyBorder="1" applyAlignment="1">
      <alignment horizontal="center" vertical="center" wrapText="1"/>
    </xf>
    <xf numFmtId="0" fontId="12" fillId="0" borderId="0" xfId="13" applyFont="1" applyAlignment="1">
      <alignment horizontal="center" vertical="center" wrapText="1"/>
    </xf>
    <xf numFmtId="0" fontId="12" fillId="0" borderId="0" xfId="13" applyFont="1" applyAlignment="1">
      <alignment horizontal="center" vertical="center"/>
    </xf>
    <xf numFmtId="0" fontId="13" fillId="0" borderId="1" xfId="13" applyFont="1" applyBorder="1" applyAlignment="1">
      <alignment horizontal="center" vertical="center"/>
    </xf>
    <xf numFmtId="0" fontId="13" fillId="0" borderId="1" xfId="13" applyFont="1" applyBorder="1" applyAlignment="1">
      <alignment vertical="center"/>
    </xf>
    <xf numFmtId="2" fontId="13" fillId="0" borderId="1" xfId="13" applyNumberFormat="1" applyFont="1" applyBorder="1" applyAlignment="1">
      <alignment horizontal="center" vertical="center"/>
    </xf>
    <xf numFmtId="1" fontId="13" fillId="0" borderId="1" xfId="13" applyNumberFormat="1" applyFont="1" applyBorder="1" applyAlignment="1">
      <alignment horizontal="center" vertical="center"/>
    </xf>
    <xf numFmtId="0" fontId="13" fillId="0" borderId="0" xfId="13" applyFont="1" applyAlignment="1">
      <alignment vertical="center"/>
    </xf>
    <xf numFmtId="2" fontId="3" fillId="0" borderId="1" xfId="13" applyNumberFormat="1" applyFont="1" applyBorder="1" applyAlignment="1">
      <alignment horizontal="center" vertical="center"/>
    </xf>
    <xf numFmtId="0" fontId="12" fillId="0" borderId="1" xfId="13" applyFont="1" applyBorder="1" applyAlignment="1">
      <alignment horizontal="center" vertical="center"/>
    </xf>
    <xf numFmtId="0" fontId="12" fillId="0" borderId="1" xfId="13" applyFont="1" applyBorder="1" applyAlignment="1">
      <alignment vertical="center"/>
    </xf>
    <xf numFmtId="165" fontId="12" fillId="0" borderId="1" xfId="13" applyNumberFormat="1" applyFont="1" applyBorder="1" applyAlignment="1">
      <alignment horizontal="center" vertical="center"/>
    </xf>
    <xf numFmtId="1" fontId="12" fillId="0" borderId="1" xfId="13" applyNumberFormat="1" applyFont="1" applyBorder="1" applyAlignment="1">
      <alignment horizontal="center" vertical="center"/>
    </xf>
    <xf numFmtId="2" fontId="12" fillId="0" borderId="1" xfId="13" applyNumberFormat="1" applyFont="1" applyBorder="1" applyAlignment="1">
      <alignment horizontal="center" vertical="center"/>
    </xf>
    <xf numFmtId="0" fontId="3" fillId="0" borderId="1" xfId="13" applyFont="1" applyBorder="1" applyAlignment="1">
      <alignment horizontal="center" vertical="center"/>
    </xf>
    <xf numFmtId="0" fontId="3" fillId="0" borderId="1" xfId="13" applyFont="1" applyBorder="1" applyAlignment="1">
      <alignment vertical="center"/>
    </xf>
    <xf numFmtId="165" fontId="3" fillId="0" borderId="1" xfId="13" applyNumberFormat="1" applyFont="1" applyBorder="1" applyAlignment="1">
      <alignment horizontal="center" vertical="center"/>
    </xf>
    <xf numFmtId="2" fontId="2" fillId="0" borderId="1" xfId="13" applyNumberFormat="1" applyBorder="1"/>
    <xf numFmtId="0" fontId="4" fillId="0" borderId="1" xfId="13" applyFont="1" applyBorder="1" applyAlignment="1">
      <alignment horizontal="center" vertical="center"/>
    </xf>
    <xf numFmtId="0" fontId="3" fillId="0" borderId="0" xfId="13" applyFont="1" applyAlignment="1">
      <alignment vertical="center"/>
    </xf>
    <xf numFmtId="0" fontId="13" fillId="0" borderId="0" xfId="13" applyFont="1" applyAlignment="1">
      <alignment horizontal="center" vertical="center"/>
    </xf>
    <xf numFmtId="165" fontId="13" fillId="0" borderId="0" xfId="13" applyNumberFormat="1" applyFont="1" applyAlignment="1">
      <alignment horizontal="center" vertical="center"/>
    </xf>
    <xf numFmtId="165" fontId="12" fillId="0" borderId="0" xfId="13" applyNumberFormat="1" applyFont="1" applyAlignment="1">
      <alignment horizontal="center" vertical="center"/>
    </xf>
    <xf numFmtId="0" fontId="2" fillId="0" borderId="0" xfId="13"/>
    <xf numFmtId="0" fontId="13" fillId="0" borderId="1" xfId="13" applyFont="1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1" fontId="10" fillId="0" borderId="1" xfId="0" applyNumberFormat="1" applyFont="1" applyBorder="1" applyAlignment="1">
      <alignment horizontal="left" vertical="center"/>
    </xf>
    <xf numFmtId="10" fontId="0" fillId="0" borderId="0" xfId="10" applyNumberFormat="1" applyFont="1" applyAlignment="1">
      <alignment horizontal="center" vertical="center"/>
    </xf>
    <xf numFmtId="10" fontId="10" fillId="0" borderId="0" xfId="10" applyNumberFormat="1" applyFont="1" applyAlignment="1">
      <alignment horizontal="center" vertical="center"/>
    </xf>
    <xf numFmtId="0" fontId="21" fillId="0" borderId="0" xfId="16" applyFont="1"/>
    <xf numFmtId="0" fontId="20" fillId="0" borderId="4" xfId="15" applyFont="1" applyBorder="1" applyAlignment="1">
      <alignment horizontal="center" vertical="top" wrapText="1"/>
    </xf>
    <xf numFmtId="0" fontId="20" fillId="0" borderId="1" xfId="15" applyFont="1" applyBorder="1" applyAlignment="1">
      <alignment horizontal="center" vertical="top" wrapText="1"/>
    </xf>
    <xf numFmtId="0" fontId="20" fillId="0" borderId="1" xfId="16" applyFont="1" applyBorder="1" applyAlignment="1">
      <alignment horizontal="center" vertical="top" wrapText="1"/>
    </xf>
    <xf numFmtId="0" fontId="21" fillId="0" borderId="0" xfId="16" applyFont="1" applyAlignment="1">
      <alignment horizontal="center" vertical="top"/>
    </xf>
    <xf numFmtId="0" fontId="20" fillId="0" borderId="1" xfId="15" applyFont="1" applyBorder="1" applyAlignment="1">
      <alignment horizontal="center" vertical="center" wrapText="1"/>
    </xf>
    <xf numFmtId="0" fontId="21" fillId="0" borderId="0" xfId="16" applyFont="1" applyAlignment="1">
      <alignment horizontal="center" vertical="center"/>
    </xf>
    <xf numFmtId="0" fontId="21" fillId="0" borderId="1" xfId="16" applyFont="1" applyBorder="1" applyAlignment="1">
      <alignment horizontal="center"/>
    </xf>
    <xf numFmtId="17" fontId="21" fillId="0" borderId="1" xfId="15" applyNumberFormat="1" applyFont="1" applyBorder="1" applyAlignment="1">
      <alignment horizontal="left" vertical="center"/>
    </xf>
    <xf numFmtId="2" fontId="21" fillId="0" borderId="1" xfId="16" applyNumberFormat="1" applyFont="1" applyBorder="1" applyAlignment="1">
      <alignment horizontal="center"/>
    </xf>
    <xf numFmtId="2" fontId="21" fillId="0" borderId="1" xfId="15" applyNumberFormat="1" applyFont="1" applyBorder="1" applyAlignment="1">
      <alignment horizontal="center" vertical="center" wrapText="1"/>
    </xf>
    <xf numFmtId="0" fontId="21" fillId="0" borderId="1" xfId="15" applyFont="1" applyBorder="1" applyAlignment="1">
      <alignment horizontal="center" vertical="center"/>
    </xf>
    <xf numFmtId="2" fontId="21" fillId="0" borderId="1" xfId="15" applyNumberFormat="1" applyFont="1" applyBorder="1" applyAlignment="1">
      <alignment horizontal="center" vertical="center"/>
    </xf>
    <xf numFmtId="166" fontId="21" fillId="0" borderId="1" xfId="15" applyNumberFormat="1" applyFont="1" applyBorder="1" applyAlignment="1">
      <alignment horizontal="center" vertical="center"/>
    </xf>
    <xf numFmtId="0" fontId="21" fillId="0" borderId="1" xfId="15" applyFont="1" applyBorder="1" applyAlignment="1">
      <alignment horizontal="center" vertical="center" wrapText="1"/>
    </xf>
    <xf numFmtId="2" fontId="21" fillId="0" borderId="1" xfId="16" applyNumberFormat="1" applyFont="1" applyBorder="1" applyAlignment="1">
      <alignment horizontal="center" vertical="center"/>
    </xf>
    <xf numFmtId="0" fontId="21" fillId="0" borderId="1" xfId="16" applyFont="1" applyBorder="1" applyAlignment="1">
      <alignment horizontal="center" vertical="center"/>
    </xf>
    <xf numFmtId="2" fontId="22" fillId="0" borderId="1" xfId="16" applyNumberFormat="1" applyFont="1" applyBorder="1" applyAlignment="1">
      <alignment horizontal="center"/>
    </xf>
    <xf numFmtId="0" fontId="22" fillId="0" borderId="0" xfId="16" applyFont="1"/>
    <xf numFmtId="2" fontId="22" fillId="0" borderId="1" xfId="16" applyNumberFormat="1" applyFont="1" applyBorder="1" applyAlignment="1">
      <alignment horizontal="center" vertical="center"/>
    </xf>
    <xf numFmtId="0" fontId="22" fillId="0" borderId="1" xfId="16" applyFont="1" applyBorder="1" applyAlignment="1">
      <alignment horizontal="center"/>
    </xf>
    <xf numFmtId="10" fontId="0" fillId="0" borderId="1" xfId="10" applyNumberFormat="1" applyFont="1" applyBorder="1" applyAlignment="1">
      <alignment horizontal="center" vertical="center"/>
    </xf>
    <xf numFmtId="10" fontId="10" fillId="0" borderId="1" xfId="10" applyNumberFormat="1" applyFont="1" applyBorder="1" applyAlignment="1">
      <alignment horizontal="center" vertical="center"/>
    </xf>
    <xf numFmtId="2" fontId="16" fillId="0" borderId="1" xfId="13" applyNumberFormat="1" applyFont="1" applyBorder="1" applyAlignment="1">
      <alignment horizontal="center" vertical="center"/>
    </xf>
    <xf numFmtId="2" fontId="7" fillId="0" borderId="1" xfId="13" applyNumberFormat="1" applyFont="1" applyBorder="1" applyAlignment="1">
      <alignment horizontal="center" vertical="center"/>
    </xf>
    <xf numFmtId="0" fontId="16" fillId="0" borderId="1" xfId="13" applyFont="1" applyBorder="1" applyAlignment="1">
      <alignment horizontal="center" vertical="center"/>
    </xf>
    <xf numFmtId="0" fontId="22" fillId="0" borderId="0" xfId="16" applyFont="1" applyAlignment="1">
      <alignment horizontal="center"/>
    </xf>
    <xf numFmtId="0" fontId="12" fillId="0" borderId="1" xfId="13" applyFont="1" applyBorder="1" applyAlignment="1">
      <alignment horizontal="left" vertical="center"/>
    </xf>
    <xf numFmtId="0" fontId="13" fillId="0" borderId="1" xfId="13" quotePrefix="1" applyFont="1" applyBorder="1" applyAlignment="1">
      <alignment horizontal="left" vertical="center"/>
    </xf>
    <xf numFmtId="0" fontId="20" fillId="0" borderId="2" xfId="15" applyFont="1" applyBorder="1" applyAlignment="1">
      <alignment horizontal="center" vertical="top" wrapText="1"/>
    </xf>
    <xf numFmtId="0" fontId="20" fillId="0" borderId="3" xfId="15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2" fontId="10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3" fillId="0" borderId="1" xfId="2" applyFont="1" applyBorder="1" applyAlignment="1">
      <alignment horizontal="center" vertical="top"/>
    </xf>
    <xf numFmtId="0" fontId="12" fillId="0" borderId="0" xfId="2" applyFont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165" fontId="12" fillId="0" borderId="1" xfId="2" applyNumberFormat="1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/>
    </xf>
    <xf numFmtId="0" fontId="12" fillId="0" borderId="0" xfId="2" applyFont="1" applyAlignment="1">
      <alignment horizontal="left" vertical="center" wrapText="1"/>
    </xf>
    <xf numFmtId="0" fontId="12" fillId="0" borderId="0" xfId="2" applyFont="1" applyAlignment="1">
      <alignment horizontal="left" vertical="center"/>
    </xf>
    <xf numFmtId="0" fontId="12" fillId="0" borderId="9" xfId="2" applyFont="1" applyBorder="1" applyAlignment="1">
      <alignment horizontal="left" vertical="center"/>
    </xf>
    <xf numFmtId="0" fontId="13" fillId="0" borderId="11" xfId="13" applyFont="1" applyBorder="1" applyAlignment="1">
      <alignment horizontal="center" vertical="top"/>
    </xf>
    <xf numFmtId="0" fontId="13" fillId="0" borderId="12" xfId="13" applyFont="1" applyBorder="1" applyAlignment="1">
      <alignment horizontal="center" vertical="top"/>
    </xf>
    <xf numFmtId="0" fontId="13" fillId="0" borderId="13" xfId="13" applyFont="1" applyBorder="1" applyAlignment="1">
      <alignment horizontal="center" vertical="top"/>
    </xf>
    <xf numFmtId="0" fontId="12" fillId="0" borderId="1" xfId="13" applyFont="1" applyBorder="1" applyAlignment="1">
      <alignment horizontal="center" vertical="center"/>
    </xf>
    <xf numFmtId="0" fontId="12" fillId="0" borderId="1" xfId="13" applyFont="1" applyBorder="1" applyAlignment="1">
      <alignment horizontal="left" vertical="center" wrapText="1"/>
    </xf>
    <xf numFmtId="0" fontId="12" fillId="0" borderId="1" xfId="13" applyFont="1" applyBorder="1" applyAlignment="1">
      <alignment horizontal="left" vertical="center"/>
    </xf>
    <xf numFmtId="0" fontId="12" fillId="0" borderId="1" xfId="13" applyFont="1" applyBorder="1" applyAlignment="1">
      <alignment horizontal="center" vertical="center" wrapText="1"/>
    </xf>
    <xf numFmtId="165" fontId="12" fillId="0" borderId="1" xfId="13" applyNumberFormat="1" applyFont="1" applyBorder="1" applyAlignment="1">
      <alignment horizontal="center" vertical="center" wrapText="1"/>
    </xf>
    <xf numFmtId="0" fontId="12" fillId="0" borderId="11" xfId="13" applyFont="1" applyBorder="1" applyAlignment="1">
      <alignment horizontal="center" vertical="center" wrapText="1"/>
    </xf>
    <xf numFmtId="0" fontId="12" fillId="0" borderId="13" xfId="13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0" fillId="0" borderId="1" xfId="15" applyFont="1" applyBorder="1" applyAlignment="1">
      <alignment horizontal="center" vertical="center" wrapText="1"/>
    </xf>
    <xf numFmtId="0" fontId="20" fillId="0" borderId="4" xfId="15" applyFont="1" applyBorder="1" applyAlignment="1">
      <alignment horizontal="center" vertical="center" wrapText="1"/>
    </xf>
    <xf numFmtId="0" fontId="20" fillId="0" borderId="2" xfId="15" applyFont="1" applyBorder="1" applyAlignment="1">
      <alignment horizontal="center" vertical="center" wrapText="1"/>
    </xf>
    <xf numFmtId="0" fontId="20" fillId="0" borderId="3" xfId="15" applyFont="1" applyBorder="1" applyAlignment="1">
      <alignment horizontal="center" vertical="center" wrapText="1"/>
    </xf>
    <xf numFmtId="0" fontId="20" fillId="0" borderId="4" xfId="15" applyFont="1" applyBorder="1" applyAlignment="1">
      <alignment horizontal="center" vertical="top" wrapText="1"/>
    </xf>
    <xf numFmtId="0" fontId="20" fillId="0" borderId="2" xfId="15" applyFont="1" applyBorder="1" applyAlignment="1">
      <alignment horizontal="center" vertical="top" wrapText="1"/>
    </xf>
    <xf numFmtId="0" fontId="20" fillId="0" borderId="3" xfId="15" applyFont="1" applyBorder="1" applyAlignment="1">
      <alignment horizontal="center" vertical="top" wrapText="1"/>
    </xf>
    <xf numFmtId="0" fontId="20" fillId="0" borderId="1" xfId="15" applyFont="1" applyBorder="1" applyAlignment="1">
      <alignment vertical="center" wrapText="1"/>
    </xf>
  </cellXfs>
  <cellStyles count="24">
    <cellStyle name="Comma 2" xfId="1" xr:uid="{00000000-0005-0000-0000-000000000000}"/>
    <cellStyle name="Comma 3" xfId="17" xr:uid="{00000000-0005-0000-0000-000001000000}"/>
    <cellStyle name="Comma 5" xfId="18" xr:uid="{00000000-0005-0000-0000-000002000000}"/>
    <cellStyle name="Comma 7" xfId="19" xr:uid="{00000000-0005-0000-0000-000003000000}"/>
    <cellStyle name="Normal" xfId="0" builtinId="0"/>
    <cellStyle name="Normal 10" xfId="20" xr:uid="{00000000-0005-0000-0000-000005000000}"/>
    <cellStyle name="Normal 15" xfId="15" xr:uid="{00000000-0005-0000-0000-000006000000}"/>
    <cellStyle name="Normal 2" xfId="2" xr:uid="{00000000-0005-0000-0000-000007000000}"/>
    <cellStyle name="Normal 2 2" xfId="3" xr:uid="{00000000-0005-0000-0000-000008000000}"/>
    <cellStyle name="Normal 2 2 2" xfId="14" xr:uid="{00000000-0005-0000-0000-000009000000}"/>
    <cellStyle name="Normal 2 3" xfId="4" xr:uid="{00000000-0005-0000-0000-00000A000000}"/>
    <cellStyle name="Normal 2 4" xfId="13" xr:uid="{00000000-0005-0000-0000-00000B000000}"/>
    <cellStyle name="Normal 3" xfId="5" xr:uid="{00000000-0005-0000-0000-00000C000000}"/>
    <cellStyle name="Normal 4" xfId="6" xr:uid="{00000000-0005-0000-0000-00000D000000}"/>
    <cellStyle name="Normal 4 2" xfId="7" xr:uid="{00000000-0005-0000-0000-00000E000000}"/>
    <cellStyle name="Normal 5" xfId="8" xr:uid="{00000000-0005-0000-0000-00000F000000}"/>
    <cellStyle name="Normal 5 2 2" xfId="21" xr:uid="{00000000-0005-0000-0000-000010000000}"/>
    <cellStyle name="Normal 5 3" xfId="22" xr:uid="{00000000-0005-0000-0000-000011000000}"/>
    <cellStyle name="Normal 6" xfId="9" xr:uid="{00000000-0005-0000-0000-000012000000}"/>
    <cellStyle name="Normal 7" xfId="16" xr:uid="{00000000-0005-0000-0000-000013000000}"/>
    <cellStyle name="Normal 8" xfId="23" xr:uid="{00000000-0005-0000-0000-000014000000}"/>
    <cellStyle name="Percent" xfId="10" builtinId="5"/>
    <cellStyle name="Percent 2" xfId="11" xr:uid="{00000000-0005-0000-0000-000016000000}"/>
    <cellStyle name="Percent 3" xfId="12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'Corrected Index (2)'!$C$2:$C$3</c:f>
              <c:strCache>
                <c:ptCount val="2"/>
                <c:pt idx="0">
                  <c:v>INDICES</c:v>
                </c:pt>
                <c:pt idx="1">
                  <c:v>Labour </c:v>
                </c:pt>
              </c:strCache>
            </c:strRef>
          </c:tx>
          <c:marker>
            <c:symbol val="none"/>
          </c:marker>
          <c:cat>
            <c:numRef>
              <c:f>'Corrected Index (2)'!$B$4:$B$81</c:f>
              <c:numCache>
                <c:formatCode>mmm\-yy</c:formatCode>
                <c:ptCount val="77"/>
                <c:pt idx="0">
                  <c:v>43586</c:v>
                </c:pt>
                <c:pt idx="1">
                  <c:v>43617</c:v>
                </c:pt>
                <c:pt idx="2">
                  <c:v>43647</c:v>
                </c:pt>
                <c:pt idx="3">
                  <c:v>43678</c:v>
                </c:pt>
                <c:pt idx="4">
                  <c:v>43709</c:v>
                </c:pt>
                <c:pt idx="5">
                  <c:v>43739</c:v>
                </c:pt>
                <c:pt idx="6">
                  <c:v>43770</c:v>
                </c:pt>
                <c:pt idx="7">
                  <c:v>43800</c:v>
                </c:pt>
                <c:pt idx="8">
                  <c:v>43831</c:v>
                </c:pt>
                <c:pt idx="9">
                  <c:v>43862</c:v>
                </c:pt>
                <c:pt idx="10">
                  <c:v>43891</c:v>
                </c:pt>
                <c:pt idx="11">
                  <c:v>43922</c:v>
                </c:pt>
                <c:pt idx="12">
                  <c:v>43952</c:v>
                </c:pt>
                <c:pt idx="13">
                  <c:v>43983</c:v>
                </c:pt>
                <c:pt idx="14">
                  <c:v>44013</c:v>
                </c:pt>
                <c:pt idx="15">
                  <c:v>44044</c:v>
                </c:pt>
                <c:pt idx="16">
                  <c:v>44075</c:v>
                </c:pt>
                <c:pt idx="17">
                  <c:v>44105</c:v>
                </c:pt>
                <c:pt idx="18">
                  <c:v>44136</c:v>
                </c:pt>
                <c:pt idx="19">
                  <c:v>44166</c:v>
                </c:pt>
                <c:pt idx="20">
                  <c:v>44197</c:v>
                </c:pt>
                <c:pt idx="21">
                  <c:v>44228</c:v>
                </c:pt>
                <c:pt idx="22">
                  <c:v>44256</c:v>
                </c:pt>
                <c:pt idx="23">
                  <c:v>44287</c:v>
                </c:pt>
                <c:pt idx="24">
                  <c:v>44317</c:v>
                </c:pt>
                <c:pt idx="25">
                  <c:v>44348</c:v>
                </c:pt>
                <c:pt idx="26">
                  <c:v>44378</c:v>
                </c:pt>
                <c:pt idx="27">
                  <c:v>44409</c:v>
                </c:pt>
                <c:pt idx="28">
                  <c:v>44440</c:v>
                </c:pt>
                <c:pt idx="29">
                  <c:v>44470</c:v>
                </c:pt>
                <c:pt idx="30">
                  <c:v>44501</c:v>
                </c:pt>
                <c:pt idx="31">
                  <c:v>44531</c:v>
                </c:pt>
                <c:pt idx="32">
                  <c:v>44562</c:v>
                </c:pt>
                <c:pt idx="33">
                  <c:v>44593</c:v>
                </c:pt>
                <c:pt idx="34">
                  <c:v>44621</c:v>
                </c:pt>
                <c:pt idx="35">
                  <c:v>44652</c:v>
                </c:pt>
                <c:pt idx="36">
                  <c:v>44682</c:v>
                </c:pt>
                <c:pt idx="37">
                  <c:v>44713</c:v>
                </c:pt>
                <c:pt idx="38">
                  <c:v>44743</c:v>
                </c:pt>
                <c:pt idx="39">
                  <c:v>44774</c:v>
                </c:pt>
                <c:pt idx="40">
                  <c:v>44805</c:v>
                </c:pt>
                <c:pt idx="41">
                  <c:v>44835</c:v>
                </c:pt>
                <c:pt idx="42">
                  <c:v>44866</c:v>
                </c:pt>
                <c:pt idx="43">
                  <c:v>44896</c:v>
                </c:pt>
                <c:pt idx="44">
                  <c:v>44927</c:v>
                </c:pt>
                <c:pt idx="45">
                  <c:v>44958</c:v>
                </c:pt>
                <c:pt idx="46">
                  <c:v>44986</c:v>
                </c:pt>
                <c:pt idx="47">
                  <c:v>45017</c:v>
                </c:pt>
                <c:pt idx="48">
                  <c:v>45047</c:v>
                </c:pt>
                <c:pt idx="49">
                  <c:v>45078</c:v>
                </c:pt>
                <c:pt idx="50">
                  <c:v>45108</c:v>
                </c:pt>
                <c:pt idx="51">
                  <c:v>45139</c:v>
                </c:pt>
                <c:pt idx="52">
                  <c:v>45170</c:v>
                </c:pt>
                <c:pt idx="53">
                  <c:v>45200</c:v>
                </c:pt>
                <c:pt idx="54">
                  <c:v>45231</c:v>
                </c:pt>
                <c:pt idx="55">
                  <c:v>45261</c:v>
                </c:pt>
                <c:pt idx="56">
                  <c:v>45292</c:v>
                </c:pt>
                <c:pt idx="57">
                  <c:v>45323</c:v>
                </c:pt>
                <c:pt idx="58">
                  <c:v>45352</c:v>
                </c:pt>
                <c:pt idx="59">
                  <c:v>45383</c:v>
                </c:pt>
                <c:pt idx="60">
                  <c:v>45413</c:v>
                </c:pt>
                <c:pt idx="61">
                  <c:v>45444</c:v>
                </c:pt>
                <c:pt idx="62">
                  <c:v>45474</c:v>
                </c:pt>
                <c:pt idx="63">
                  <c:v>45505</c:v>
                </c:pt>
                <c:pt idx="64">
                  <c:v>45536</c:v>
                </c:pt>
                <c:pt idx="65">
                  <c:v>45566</c:v>
                </c:pt>
                <c:pt idx="66">
                  <c:v>45597</c:v>
                </c:pt>
                <c:pt idx="67">
                  <c:v>45627</c:v>
                </c:pt>
                <c:pt idx="68">
                  <c:v>45658</c:v>
                </c:pt>
                <c:pt idx="69">
                  <c:v>45689</c:v>
                </c:pt>
                <c:pt idx="70">
                  <c:v>45717</c:v>
                </c:pt>
                <c:pt idx="71">
                  <c:v>45748</c:v>
                </c:pt>
                <c:pt idx="72">
                  <c:v>45778</c:v>
                </c:pt>
                <c:pt idx="73">
                  <c:v>45809</c:v>
                </c:pt>
                <c:pt idx="74">
                  <c:v>45839</c:v>
                </c:pt>
                <c:pt idx="75">
                  <c:v>45870</c:v>
                </c:pt>
                <c:pt idx="76">
                  <c:v>45901</c:v>
                </c:pt>
              </c:numCache>
            </c:numRef>
          </c:cat>
          <c:val>
            <c:numRef>
              <c:f>'Corrected Index (2)'!$C$4:$C$81</c:f>
              <c:numCache>
                <c:formatCode>0.00</c:formatCode>
                <c:ptCount val="77"/>
                <c:pt idx="0">
                  <c:v>314</c:v>
                </c:pt>
                <c:pt idx="1">
                  <c:v>316</c:v>
                </c:pt>
                <c:pt idx="2">
                  <c:v>319</c:v>
                </c:pt>
                <c:pt idx="3">
                  <c:v>320</c:v>
                </c:pt>
                <c:pt idx="4">
                  <c:v>322</c:v>
                </c:pt>
                <c:pt idx="5">
                  <c:v>325</c:v>
                </c:pt>
                <c:pt idx="6">
                  <c:v>328</c:v>
                </c:pt>
                <c:pt idx="7">
                  <c:v>330</c:v>
                </c:pt>
                <c:pt idx="8">
                  <c:v>330</c:v>
                </c:pt>
                <c:pt idx="9">
                  <c:v>328</c:v>
                </c:pt>
                <c:pt idx="10">
                  <c:v>326</c:v>
                </c:pt>
                <c:pt idx="11">
                  <c:v>329</c:v>
                </c:pt>
                <c:pt idx="12">
                  <c:v>330</c:v>
                </c:pt>
                <c:pt idx="13">
                  <c:v>332</c:v>
                </c:pt>
                <c:pt idx="14">
                  <c:v>336</c:v>
                </c:pt>
                <c:pt idx="15">
                  <c:v>338</c:v>
                </c:pt>
                <c:pt idx="16">
                  <c:v>369.334</c:v>
                </c:pt>
                <c:pt idx="17">
                  <c:v>371.26600000000002</c:v>
                </c:pt>
                <c:pt idx="18">
                  <c:v>372.87600000000003</c:v>
                </c:pt>
                <c:pt idx="19">
                  <c:v>371.58800000000002</c:v>
                </c:pt>
                <c:pt idx="20">
                  <c:v>371.91</c:v>
                </c:pt>
                <c:pt idx="21">
                  <c:v>374.48599999999999</c:v>
                </c:pt>
                <c:pt idx="22">
                  <c:v>377.06200000000001</c:v>
                </c:pt>
                <c:pt idx="23">
                  <c:v>379.63800000000003</c:v>
                </c:pt>
                <c:pt idx="24">
                  <c:v>377.06200000000001</c:v>
                </c:pt>
                <c:pt idx="25">
                  <c:v>383.50200000000001</c:v>
                </c:pt>
                <c:pt idx="26">
                  <c:v>388.976</c:v>
                </c:pt>
                <c:pt idx="27">
                  <c:v>387.68800000000005</c:v>
                </c:pt>
                <c:pt idx="28">
                  <c:v>386.07800000000003</c:v>
                </c:pt>
                <c:pt idx="29">
                  <c:v>389.94200000000001</c:v>
                </c:pt>
                <c:pt idx="30">
                  <c:v>391.23</c:v>
                </c:pt>
                <c:pt idx="31">
                  <c:v>389.29800000000006</c:v>
                </c:pt>
                <c:pt idx="32">
                  <c:v>388.976</c:v>
                </c:pt>
                <c:pt idx="33">
                  <c:v>389.62</c:v>
                </c:pt>
                <c:pt idx="34">
                  <c:v>391.23</c:v>
                </c:pt>
                <c:pt idx="35">
                  <c:v>394.12800000000004</c:v>
                </c:pt>
                <c:pt idx="36">
                  <c:v>396.70400000000001</c:v>
                </c:pt>
                <c:pt idx="37">
                  <c:v>397.02600000000001</c:v>
                </c:pt>
                <c:pt idx="38">
                  <c:v>396.70400000000001</c:v>
                </c:pt>
                <c:pt idx="39">
                  <c:v>396.06</c:v>
                </c:pt>
                <c:pt idx="40">
                  <c:v>395.416</c:v>
                </c:pt>
                <c:pt idx="41">
                  <c:v>399.92400000000004</c:v>
                </c:pt>
                <c:pt idx="42">
                  <c:v>393.80600000000004</c:v>
                </c:pt>
                <c:pt idx="43">
                  <c:v>394.12800000000004</c:v>
                </c:pt>
                <c:pt idx="44">
                  <c:v>397.34800000000007</c:v>
                </c:pt>
                <c:pt idx="45">
                  <c:v>397.34800000000007</c:v>
                </c:pt>
                <c:pt idx="46">
                  <c:v>400.24600000000004</c:v>
                </c:pt>
                <c:pt idx="47">
                  <c:v>400.24600000000004</c:v>
                </c:pt>
                <c:pt idx="48">
                  <c:v>402.5</c:v>
                </c:pt>
                <c:pt idx="49">
                  <c:v>406.68600000000004</c:v>
                </c:pt>
                <c:pt idx="50">
                  <c:v>410.22800000000007</c:v>
                </c:pt>
                <c:pt idx="51">
                  <c:v>409.262</c:v>
                </c:pt>
                <c:pt idx="52">
                  <c:v>402.5</c:v>
                </c:pt>
                <c:pt idx="53">
                  <c:v>412.48200000000003</c:v>
                </c:pt>
                <c:pt idx="54">
                  <c:v>409.90600000000001</c:v>
                </c:pt>
                <c:pt idx="55">
                  <c:v>409.262</c:v>
                </c:pt>
                <c:pt idx="56">
                  <c:v>410.87200000000001</c:v>
                </c:pt>
                <c:pt idx="57">
                  <c:v>417.31200000000001</c:v>
                </c:pt>
                <c:pt idx="58">
                  <c:v>412.48200000000003</c:v>
                </c:pt>
                <c:pt idx="59">
                  <c:v>411.51600000000002</c:v>
                </c:pt>
                <c:pt idx="60">
                  <c:v>416.024</c:v>
                </c:pt>
                <c:pt idx="61">
                  <c:v>416.66800000000006</c:v>
                </c:pt>
                <c:pt idx="62">
                  <c:v>421.17600000000004</c:v>
                </c:pt>
                <c:pt idx="63">
                  <c:v>422.142</c:v>
                </c:pt>
                <c:pt idx="64">
                  <c:v>422.142</c:v>
                </c:pt>
                <c:pt idx="65">
                  <c:v>424.07400000000001</c:v>
                </c:pt>
                <c:pt idx="66">
                  <c:v>426.65000000000003</c:v>
                </c:pt>
                <c:pt idx="67">
                  <c:v>427.61600000000004</c:v>
                </c:pt>
                <c:pt idx="68">
                  <c:v>431.15800000000007</c:v>
                </c:pt>
                <c:pt idx="69">
                  <c:v>431.48</c:v>
                </c:pt>
                <c:pt idx="70">
                  <c:v>431.15800000000007</c:v>
                </c:pt>
                <c:pt idx="71">
                  <c:v>431.48</c:v>
                </c:pt>
                <c:pt idx="72">
                  <c:v>435.66600000000005</c:v>
                </c:pt>
                <c:pt idx="73">
                  <c:v>435.98800000000006</c:v>
                </c:pt>
                <c:pt idx="74">
                  <c:v>441.78399999999999</c:v>
                </c:pt>
                <c:pt idx="75">
                  <c:v>444.68200000000002</c:v>
                </c:pt>
                <c:pt idx="76">
                  <c:v>444.68200000000002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BE-470F-9B9C-498FC1583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62208"/>
        <c:axId val="99138880"/>
      </c:lineChart>
      <c:dateAx>
        <c:axId val="1176622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99138880"/>
        <c:crosses val="autoZero"/>
        <c:auto val="1"/>
        <c:lblOffset val="100"/>
        <c:baseTimeUnit val="months"/>
      </c:dateAx>
      <c:valAx>
        <c:axId val="9913888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17662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'Corrected Index (2)'!$D$2:$D$3</c:f>
              <c:strCache>
                <c:ptCount val="2"/>
                <c:pt idx="0">
                  <c:v>INDICES</c:v>
                </c:pt>
                <c:pt idx="1">
                  <c:v>POL  </c:v>
                </c:pt>
              </c:strCache>
            </c:strRef>
          </c:tx>
          <c:marker>
            <c:symbol val="none"/>
          </c:marker>
          <c:cat>
            <c:numRef>
              <c:f>'Corrected Index (2)'!$B$4:$B$81</c:f>
              <c:numCache>
                <c:formatCode>mmm\-yy</c:formatCode>
                <c:ptCount val="77"/>
                <c:pt idx="0">
                  <c:v>43586</c:v>
                </c:pt>
                <c:pt idx="1">
                  <c:v>43617</c:v>
                </c:pt>
                <c:pt idx="2">
                  <c:v>43647</c:v>
                </c:pt>
                <c:pt idx="3">
                  <c:v>43678</c:v>
                </c:pt>
                <c:pt idx="4">
                  <c:v>43709</c:v>
                </c:pt>
                <c:pt idx="5">
                  <c:v>43739</c:v>
                </c:pt>
                <c:pt idx="6">
                  <c:v>43770</c:v>
                </c:pt>
                <c:pt idx="7">
                  <c:v>43800</c:v>
                </c:pt>
                <c:pt idx="8">
                  <c:v>43831</c:v>
                </c:pt>
                <c:pt idx="9">
                  <c:v>43862</c:v>
                </c:pt>
                <c:pt idx="10">
                  <c:v>43891</c:v>
                </c:pt>
                <c:pt idx="11">
                  <c:v>43922</c:v>
                </c:pt>
                <c:pt idx="12">
                  <c:v>43952</c:v>
                </c:pt>
                <c:pt idx="13">
                  <c:v>43983</c:v>
                </c:pt>
                <c:pt idx="14">
                  <c:v>44013</c:v>
                </c:pt>
                <c:pt idx="15">
                  <c:v>44044</c:v>
                </c:pt>
                <c:pt idx="16">
                  <c:v>44075</c:v>
                </c:pt>
                <c:pt idx="17">
                  <c:v>44105</c:v>
                </c:pt>
                <c:pt idx="18">
                  <c:v>44136</c:v>
                </c:pt>
                <c:pt idx="19">
                  <c:v>44166</c:v>
                </c:pt>
                <c:pt idx="20">
                  <c:v>44197</c:v>
                </c:pt>
                <c:pt idx="21">
                  <c:v>44228</c:v>
                </c:pt>
                <c:pt idx="22">
                  <c:v>44256</c:v>
                </c:pt>
                <c:pt idx="23">
                  <c:v>44287</c:v>
                </c:pt>
                <c:pt idx="24">
                  <c:v>44317</c:v>
                </c:pt>
                <c:pt idx="25">
                  <c:v>44348</c:v>
                </c:pt>
                <c:pt idx="26">
                  <c:v>44378</c:v>
                </c:pt>
                <c:pt idx="27">
                  <c:v>44409</c:v>
                </c:pt>
                <c:pt idx="28">
                  <c:v>44440</c:v>
                </c:pt>
                <c:pt idx="29">
                  <c:v>44470</c:v>
                </c:pt>
                <c:pt idx="30">
                  <c:v>44501</c:v>
                </c:pt>
                <c:pt idx="31">
                  <c:v>44531</c:v>
                </c:pt>
                <c:pt idx="32">
                  <c:v>44562</c:v>
                </c:pt>
                <c:pt idx="33">
                  <c:v>44593</c:v>
                </c:pt>
                <c:pt idx="34">
                  <c:v>44621</c:v>
                </c:pt>
                <c:pt idx="35">
                  <c:v>44652</c:v>
                </c:pt>
                <c:pt idx="36">
                  <c:v>44682</c:v>
                </c:pt>
                <c:pt idx="37">
                  <c:v>44713</c:v>
                </c:pt>
                <c:pt idx="38">
                  <c:v>44743</c:v>
                </c:pt>
                <c:pt idx="39">
                  <c:v>44774</c:v>
                </c:pt>
                <c:pt idx="40">
                  <c:v>44805</c:v>
                </c:pt>
                <c:pt idx="41">
                  <c:v>44835</c:v>
                </c:pt>
                <c:pt idx="42">
                  <c:v>44866</c:v>
                </c:pt>
                <c:pt idx="43">
                  <c:v>44896</c:v>
                </c:pt>
                <c:pt idx="44">
                  <c:v>44927</c:v>
                </c:pt>
                <c:pt idx="45">
                  <c:v>44958</c:v>
                </c:pt>
                <c:pt idx="46">
                  <c:v>44986</c:v>
                </c:pt>
                <c:pt idx="47">
                  <c:v>45017</c:v>
                </c:pt>
                <c:pt idx="48">
                  <c:v>45047</c:v>
                </c:pt>
                <c:pt idx="49">
                  <c:v>45078</c:v>
                </c:pt>
                <c:pt idx="50">
                  <c:v>45108</c:v>
                </c:pt>
                <c:pt idx="51">
                  <c:v>45139</c:v>
                </c:pt>
                <c:pt idx="52">
                  <c:v>45170</c:v>
                </c:pt>
                <c:pt idx="53">
                  <c:v>45200</c:v>
                </c:pt>
                <c:pt idx="54">
                  <c:v>45231</c:v>
                </c:pt>
                <c:pt idx="55">
                  <c:v>45261</c:v>
                </c:pt>
                <c:pt idx="56">
                  <c:v>45292</c:v>
                </c:pt>
                <c:pt idx="57">
                  <c:v>45323</c:v>
                </c:pt>
                <c:pt idx="58">
                  <c:v>45352</c:v>
                </c:pt>
                <c:pt idx="59">
                  <c:v>45383</c:v>
                </c:pt>
                <c:pt idx="60">
                  <c:v>45413</c:v>
                </c:pt>
                <c:pt idx="61">
                  <c:v>45444</c:v>
                </c:pt>
                <c:pt idx="62">
                  <c:v>45474</c:v>
                </c:pt>
                <c:pt idx="63">
                  <c:v>45505</c:v>
                </c:pt>
                <c:pt idx="64">
                  <c:v>45536</c:v>
                </c:pt>
                <c:pt idx="65">
                  <c:v>45566</c:v>
                </c:pt>
                <c:pt idx="66">
                  <c:v>45597</c:v>
                </c:pt>
                <c:pt idx="67">
                  <c:v>45627</c:v>
                </c:pt>
                <c:pt idx="68">
                  <c:v>45658</c:v>
                </c:pt>
                <c:pt idx="69">
                  <c:v>45689</c:v>
                </c:pt>
                <c:pt idx="70">
                  <c:v>45717</c:v>
                </c:pt>
                <c:pt idx="71">
                  <c:v>45748</c:v>
                </c:pt>
                <c:pt idx="72">
                  <c:v>45778</c:v>
                </c:pt>
                <c:pt idx="73">
                  <c:v>45809</c:v>
                </c:pt>
                <c:pt idx="74">
                  <c:v>45839</c:v>
                </c:pt>
                <c:pt idx="75">
                  <c:v>45870</c:v>
                </c:pt>
                <c:pt idx="76">
                  <c:v>45901</c:v>
                </c:pt>
              </c:numCache>
            </c:numRef>
          </c:cat>
          <c:val>
            <c:numRef>
              <c:f>'Corrected Index (2)'!$D$4:$D$81</c:f>
              <c:numCache>
                <c:formatCode>0.00</c:formatCode>
                <c:ptCount val="77"/>
                <c:pt idx="0">
                  <c:v>68.52</c:v>
                </c:pt>
                <c:pt idx="1">
                  <c:v>67.155000000000001</c:v>
                </c:pt>
                <c:pt idx="2">
                  <c:v>67.034999999999997</c:v>
                </c:pt>
                <c:pt idx="3">
                  <c:v>67.490000000000009</c:v>
                </c:pt>
                <c:pt idx="4">
                  <c:v>68.185000000000002</c:v>
                </c:pt>
                <c:pt idx="5">
                  <c:v>68.63</c:v>
                </c:pt>
                <c:pt idx="6">
                  <c:v>67.66</c:v>
                </c:pt>
                <c:pt idx="7">
                  <c:v>68.844999999999999</c:v>
                </c:pt>
                <c:pt idx="8">
                  <c:v>69.17</c:v>
                </c:pt>
                <c:pt idx="9">
                  <c:v>67.2</c:v>
                </c:pt>
                <c:pt idx="10">
                  <c:v>65.02</c:v>
                </c:pt>
                <c:pt idx="11">
                  <c:v>64.98</c:v>
                </c:pt>
                <c:pt idx="12">
                  <c:v>64.98</c:v>
                </c:pt>
                <c:pt idx="13">
                  <c:v>72.169999999999987</c:v>
                </c:pt>
                <c:pt idx="14">
                  <c:v>78.134999999999991</c:v>
                </c:pt>
                <c:pt idx="15">
                  <c:v>78.67</c:v>
                </c:pt>
                <c:pt idx="16">
                  <c:v>77.09</c:v>
                </c:pt>
                <c:pt idx="17">
                  <c:v>75.525000000000006</c:v>
                </c:pt>
                <c:pt idx="18">
                  <c:v>76.59</c:v>
                </c:pt>
                <c:pt idx="19">
                  <c:v>78.34</c:v>
                </c:pt>
                <c:pt idx="20">
                  <c:v>80.484999999999999</c:v>
                </c:pt>
                <c:pt idx="21">
                  <c:v>84.474999999999994</c:v>
                </c:pt>
                <c:pt idx="22">
                  <c:v>86.48</c:v>
                </c:pt>
                <c:pt idx="23">
                  <c:v>86.11</c:v>
                </c:pt>
                <c:pt idx="24">
                  <c:v>88.514999999999986</c:v>
                </c:pt>
                <c:pt idx="25">
                  <c:v>92.914999999999992</c:v>
                </c:pt>
                <c:pt idx="26">
                  <c:v>95.334999999999994</c:v>
                </c:pt>
                <c:pt idx="27">
                  <c:v>94.914999999999992</c:v>
                </c:pt>
                <c:pt idx="28">
                  <c:v>95.025000000000006</c:v>
                </c:pt>
                <c:pt idx="29">
                  <c:v>99.974999999999994</c:v>
                </c:pt>
                <c:pt idx="30">
                  <c:v>98.38</c:v>
                </c:pt>
                <c:pt idx="31">
                  <c:v>92.3</c:v>
                </c:pt>
                <c:pt idx="32">
                  <c:v>92.3</c:v>
                </c:pt>
                <c:pt idx="33">
                  <c:v>92.3</c:v>
                </c:pt>
                <c:pt idx="34">
                  <c:v>95.615000000000009</c:v>
                </c:pt>
                <c:pt idx="35">
                  <c:v>100.795</c:v>
                </c:pt>
                <c:pt idx="36">
                  <c:v>99.004999999999995</c:v>
                </c:pt>
                <c:pt idx="37">
                  <c:v>95.35</c:v>
                </c:pt>
                <c:pt idx="38">
                  <c:v>93.85</c:v>
                </c:pt>
                <c:pt idx="39">
                  <c:v>92.35</c:v>
                </c:pt>
                <c:pt idx="40">
                  <c:v>92.35</c:v>
                </c:pt>
                <c:pt idx="41">
                  <c:v>92.35</c:v>
                </c:pt>
                <c:pt idx="42">
                  <c:v>92.35</c:v>
                </c:pt>
                <c:pt idx="43">
                  <c:v>92.35</c:v>
                </c:pt>
                <c:pt idx="44">
                  <c:v>92.35</c:v>
                </c:pt>
                <c:pt idx="45">
                  <c:v>92.35</c:v>
                </c:pt>
                <c:pt idx="46">
                  <c:v>92.35</c:v>
                </c:pt>
                <c:pt idx="47">
                  <c:v>92.35</c:v>
                </c:pt>
                <c:pt idx="48">
                  <c:v>92.35</c:v>
                </c:pt>
                <c:pt idx="49">
                  <c:v>92.35</c:v>
                </c:pt>
                <c:pt idx="50">
                  <c:v>92.35</c:v>
                </c:pt>
                <c:pt idx="51">
                  <c:v>92.35</c:v>
                </c:pt>
                <c:pt idx="52">
                  <c:v>92.35</c:v>
                </c:pt>
                <c:pt idx="53">
                  <c:v>92.35</c:v>
                </c:pt>
                <c:pt idx="54">
                  <c:v>92.35</c:v>
                </c:pt>
                <c:pt idx="55">
                  <c:v>92.35</c:v>
                </c:pt>
                <c:pt idx="56">
                  <c:v>92.35</c:v>
                </c:pt>
                <c:pt idx="57">
                  <c:v>92.35</c:v>
                </c:pt>
                <c:pt idx="58">
                  <c:v>91.314999999999998</c:v>
                </c:pt>
                <c:pt idx="59">
                  <c:v>90.28</c:v>
                </c:pt>
                <c:pt idx="60">
                  <c:v>90.28</c:v>
                </c:pt>
                <c:pt idx="61">
                  <c:v>90.28</c:v>
                </c:pt>
                <c:pt idx="62">
                  <c:v>90.28</c:v>
                </c:pt>
                <c:pt idx="63">
                  <c:v>90.28</c:v>
                </c:pt>
                <c:pt idx="64">
                  <c:v>90.28</c:v>
                </c:pt>
                <c:pt idx="65">
                  <c:v>90.28</c:v>
                </c:pt>
                <c:pt idx="66">
                  <c:v>90.28</c:v>
                </c:pt>
                <c:pt idx="67">
                  <c:v>90.31</c:v>
                </c:pt>
                <c:pt idx="68">
                  <c:v>90.34</c:v>
                </c:pt>
                <c:pt idx="69">
                  <c:v>90.34</c:v>
                </c:pt>
                <c:pt idx="70">
                  <c:v>90.34</c:v>
                </c:pt>
                <c:pt idx="71">
                  <c:v>90.34</c:v>
                </c:pt>
                <c:pt idx="72">
                  <c:v>90.34</c:v>
                </c:pt>
                <c:pt idx="73">
                  <c:v>90.34</c:v>
                </c:pt>
                <c:pt idx="74">
                  <c:v>90.34</c:v>
                </c:pt>
                <c:pt idx="75">
                  <c:v>90.34</c:v>
                </c:pt>
                <c:pt idx="76">
                  <c:v>90.34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B7-47DF-A13A-C308420ED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716160"/>
        <c:axId val="79654848"/>
      </c:lineChart>
      <c:dateAx>
        <c:axId val="122716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79654848"/>
        <c:crosses val="autoZero"/>
        <c:auto val="1"/>
        <c:lblOffset val="100"/>
        <c:baseTimeUnit val="months"/>
      </c:dateAx>
      <c:valAx>
        <c:axId val="796548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22716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'Corrected Index (2)'!$E$2:$E$3</c:f>
              <c:strCache>
                <c:ptCount val="2"/>
                <c:pt idx="0">
                  <c:v>INDICES</c:v>
                </c:pt>
                <c:pt idx="1">
                  <c:v>Other Material </c:v>
                </c:pt>
              </c:strCache>
            </c:strRef>
          </c:tx>
          <c:marker>
            <c:symbol val="none"/>
          </c:marker>
          <c:cat>
            <c:numRef>
              <c:f>'Corrected Index (2)'!$B$5:$B$81</c:f>
              <c:numCache>
                <c:formatCode>mmm\-yy</c:formatCode>
                <c:ptCount val="77"/>
                <c:pt idx="0">
                  <c:v>43586</c:v>
                </c:pt>
                <c:pt idx="1">
                  <c:v>43617</c:v>
                </c:pt>
                <c:pt idx="2">
                  <c:v>43647</c:v>
                </c:pt>
                <c:pt idx="3">
                  <c:v>43678</c:v>
                </c:pt>
                <c:pt idx="4">
                  <c:v>43709</c:v>
                </c:pt>
                <c:pt idx="5">
                  <c:v>43739</c:v>
                </c:pt>
                <c:pt idx="6">
                  <c:v>43770</c:v>
                </c:pt>
                <c:pt idx="7">
                  <c:v>43800</c:v>
                </c:pt>
                <c:pt idx="8">
                  <c:v>43831</c:v>
                </c:pt>
                <c:pt idx="9">
                  <c:v>43862</c:v>
                </c:pt>
                <c:pt idx="10">
                  <c:v>43891</c:v>
                </c:pt>
                <c:pt idx="11">
                  <c:v>43922</c:v>
                </c:pt>
                <c:pt idx="12">
                  <c:v>43952</c:v>
                </c:pt>
                <c:pt idx="13">
                  <c:v>43983</c:v>
                </c:pt>
                <c:pt idx="14">
                  <c:v>44013</c:v>
                </c:pt>
                <c:pt idx="15">
                  <c:v>44044</c:v>
                </c:pt>
                <c:pt idx="16">
                  <c:v>44075</c:v>
                </c:pt>
                <c:pt idx="17">
                  <c:v>44105</c:v>
                </c:pt>
                <c:pt idx="18">
                  <c:v>44136</c:v>
                </c:pt>
                <c:pt idx="19">
                  <c:v>44166</c:v>
                </c:pt>
                <c:pt idx="20">
                  <c:v>44197</c:v>
                </c:pt>
                <c:pt idx="21">
                  <c:v>44228</c:v>
                </c:pt>
                <c:pt idx="22">
                  <c:v>44256</c:v>
                </c:pt>
                <c:pt idx="23">
                  <c:v>44287</c:v>
                </c:pt>
                <c:pt idx="24">
                  <c:v>44317</c:v>
                </c:pt>
                <c:pt idx="25">
                  <c:v>44348</c:v>
                </c:pt>
                <c:pt idx="26">
                  <c:v>44378</c:v>
                </c:pt>
                <c:pt idx="27">
                  <c:v>44409</c:v>
                </c:pt>
                <c:pt idx="28">
                  <c:v>44440</c:v>
                </c:pt>
                <c:pt idx="29">
                  <c:v>44470</c:v>
                </c:pt>
                <c:pt idx="30">
                  <c:v>44501</c:v>
                </c:pt>
                <c:pt idx="31">
                  <c:v>44531</c:v>
                </c:pt>
                <c:pt idx="32">
                  <c:v>44562</c:v>
                </c:pt>
                <c:pt idx="33">
                  <c:v>44593</c:v>
                </c:pt>
                <c:pt idx="34">
                  <c:v>44621</c:v>
                </c:pt>
                <c:pt idx="35">
                  <c:v>44652</c:v>
                </c:pt>
                <c:pt idx="36">
                  <c:v>44682</c:v>
                </c:pt>
                <c:pt idx="37">
                  <c:v>44713</c:v>
                </c:pt>
                <c:pt idx="38">
                  <c:v>44743</c:v>
                </c:pt>
                <c:pt idx="39">
                  <c:v>44774</c:v>
                </c:pt>
                <c:pt idx="40">
                  <c:v>44805</c:v>
                </c:pt>
                <c:pt idx="41">
                  <c:v>44835</c:v>
                </c:pt>
                <c:pt idx="42">
                  <c:v>44866</c:v>
                </c:pt>
                <c:pt idx="43">
                  <c:v>44896</c:v>
                </c:pt>
                <c:pt idx="44">
                  <c:v>44927</c:v>
                </c:pt>
                <c:pt idx="45">
                  <c:v>44958</c:v>
                </c:pt>
                <c:pt idx="46">
                  <c:v>44986</c:v>
                </c:pt>
                <c:pt idx="47">
                  <c:v>45017</c:v>
                </c:pt>
                <c:pt idx="48">
                  <c:v>45047</c:v>
                </c:pt>
                <c:pt idx="49">
                  <c:v>45078</c:v>
                </c:pt>
                <c:pt idx="50">
                  <c:v>45108</c:v>
                </c:pt>
                <c:pt idx="51">
                  <c:v>45139</c:v>
                </c:pt>
                <c:pt idx="52">
                  <c:v>45170</c:v>
                </c:pt>
                <c:pt idx="53">
                  <c:v>45200</c:v>
                </c:pt>
                <c:pt idx="54">
                  <c:v>45231</c:v>
                </c:pt>
                <c:pt idx="55">
                  <c:v>45261</c:v>
                </c:pt>
                <c:pt idx="56">
                  <c:v>45292</c:v>
                </c:pt>
                <c:pt idx="57">
                  <c:v>45323</c:v>
                </c:pt>
                <c:pt idx="58">
                  <c:v>45352</c:v>
                </c:pt>
                <c:pt idx="59">
                  <c:v>45383</c:v>
                </c:pt>
                <c:pt idx="60">
                  <c:v>45413</c:v>
                </c:pt>
                <c:pt idx="61">
                  <c:v>45444</c:v>
                </c:pt>
                <c:pt idx="62">
                  <c:v>45474</c:v>
                </c:pt>
                <c:pt idx="63">
                  <c:v>45505</c:v>
                </c:pt>
                <c:pt idx="64">
                  <c:v>45536</c:v>
                </c:pt>
                <c:pt idx="65">
                  <c:v>45566</c:v>
                </c:pt>
                <c:pt idx="66">
                  <c:v>45597</c:v>
                </c:pt>
                <c:pt idx="67">
                  <c:v>45627</c:v>
                </c:pt>
                <c:pt idx="68">
                  <c:v>45658</c:v>
                </c:pt>
                <c:pt idx="69">
                  <c:v>45689</c:v>
                </c:pt>
                <c:pt idx="70">
                  <c:v>45717</c:v>
                </c:pt>
                <c:pt idx="71">
                  <c:v>45748</c:v>
                </c:pt>
                <c:pt idx="72">
                  <c:v>45778</c:v>
                </c:pt>
                <c:pt idx="73">
                  <c:v>45809</c:v>
                </c:pt>
                <c:pt idx="74">
                  <c:v>45839</c:v>
                </c:pt>
                <c:pt idx="75">
                  <c:v>45870</c:v>
                </c:pt>
                <c:pt idx="76">
                  <c:v>45901</c:v>
                </c:pt>
              </c:numCache>
            </c:numRef>
          </c:cat>
          <c:val>
            <c:numRef>
              <c:f>'Corrected Index (2)'!$E$5:$E$81</c:f>
              <c:numCache>
                <c:formatCode>0.00</c:formatCode>
                <c:ptCount val="77"/>
                <c:pt idx="0">
                  <c:v>121.6</c:v>
                </c:pt>
                <c:pt idx="1">
                  <c:v>121.5</c:v>
                </c:pt>
                <c:pt idx="2">
                  <c:v>121.3</c:v>
                </c:pt>
                <c:pt idx="3">
                  <c:v>121.5</c:v>
                </c:pt>
                <c:pt idx="4">
                  <c:v>121.3</c:v>
                </c:pt>
                <c:pt idx="5">
                  <c:v>122</c:v>
                </c:pt>
                <c:pt idx="6">
                  <c:v>122.3</c:v>
                </c:pt>
                <c:pt idx="7">
                  <c:v>122.8</c:v>
                </c:pt>
                <c:pt idx="8">
                  <c:v>123.4</c:v>
                </c:pt>
                <c:pt idx="9">
                  <c:v>122.2</c:v>
                </c:pt>
                <c:pt idx="10">
                  <c:v>120.4</c:v>
                </c:pt>
                <c:pt idx="11">
                  <c:v>119.2</c:v>
                </c:pt>
                <c:pt idx="12">
                  <c:v>117.5</c:v>
                </c:pt>
                <c:pt idx="13">
                  <c:v>119.3</c:v>
                </c:pt>
                <c:pt idx="14">
                  <c:v>121</c:v>
                </c:pt>
                <c:pt idx="15">
                  <c:v>122</c:v>
                </c:pt>
                <c:pt idx="16">
                  <c:v>122.9</c:v>
                </c:pt>
                <c:pt idx="17">
                  <c:v>123.6</c:v>
                </c:pt>
                <c:pt idx="18">
                  <c:v>125.1</c:v>
                </c:pt>
                <c:pt idx="19">
                  <c:v>125.4</c:v>
                </c:pt>
                <c:pt idx="20">
                  <c:v>126.5</c:v>
                </c:pt>
                <c:pt idx="21">
                  <c:v>128.1</c:v>
                </c:pt>
                <c:pt idx="22">
                  <c:v>129.9</c:v>
                </c:pt>
                <c:pt idx="23">
                  <c:v>132</c:v>
                </c:pt>
                <c:pt idx="24">
                  <c:v>132.9</c:v>
                </c:pt>
                <c:pt idx="25">
                  <c:v>133.69999999999999</c:v>
                </c:pt>
                <c:pt idx="26">
                  <c:v>135</c:v>
                </c:pt>
                <c:pt idx="27">
                  <c:v>136.19999999999999</c:v>
                </c:pt>
                <c:pt idx="28">
                  <c:v>137.4</c:v>
                </c:pt>
                <c:pt idx="29">
                  <c:v>140.69999999999999</c:v>
                </c:pt>
                <c:pt idx="30">
                  <c:v>143.69999999999999</c:v>
                </c:pt>
                <c:pt idx="31">
                  <c:v>143.30000000000001</c:v>
                </c:pt>
                <c:pt idx="32">
                  <c:v>143.80000000000001</c:v>
                </c:pt>
                <c:pt idx="33">
                  <c:v>145.30000000000001</c:v>
                </c:pt>
                <c:pt idx="34">
                  <c:v>148.9</c:v>
                </c:pt>
                <c:pt idx="35">
                  <c:v>152.30000000000001</c:v>
                </c:pt>
                <c:pt idx="36">
                  <c:v>155</c:v>
                </c:pt>
                <c:pt idx="37">
                  <c:v>155.4</c:v>
                </c:pt>
                <c:pt idx="38">
                  <c:v>154</c:v>
                </c:pt>
                <c:pt idx="39">
                  <c:v>153.19999999999999</c:v>
                </c:pt>
                <c:pt idx="40">
                  <c:v>151.9</c:v>
                </c:pt>
                <c:pt idx="41">
                  <c:v>152.9</c:v>
                </c:pt>
                <c:pt idx="42">
                  <c:v>152.1</c:v>
                </c:pt>
                <c:pt idx="43">
                  <c:v>150.4</c:v>
                </c:pt>
                <c:pt idx="44">
                  <c:v>150.69999999999999</c:v>
                </c:pt>
                <c:pt idx="45">
                  <c:v>150.9</c:v>
                </c:pt>
                <c:pt idx="46">
                  <c:v>151</c:v>
                </c:pt>
                <c:pt idx="47">
                  <c:v>151.1</c:v>
                </c:pt>
                <c:pt idx="48">
                  <c:v>149.4</c:v>
                </c:pt>
                <c:pt idx="49">
                  <c:v>148.9</c:v>
                </c:pt>
                <c:pt idx="50">
                  <c:v>152.1</c:v>
                </c:pt>
                <c:pt idx="51">
                  <c:v>152.5</c:v>
                </c:pt>
                <c:pt idx="52">
                  <c:v>151.80000000000001</c:v>
                </c:pt>
                <c:pt idx="53">
                  <c:v>152.5</c:v>
                </c:pt>
                <c:pt idx="54">
                  <c:v>153.1</c:v>
                </c:pt>
                <c:pt idx="55">
                  <c:v>151.80000000000001</c:v>
                </c:pt>
                <c:pt idx="56">
                  <c:v>151.19999999999999</c:v>
                </c:pt>
                <c:pt idx="57">
                  <c:v>151.19999999999999</c:v>
                </c:pt>
                <c:pt idx="58">
                  <c:v>151.4</c:v>
                </c:pt>
                <c:pt idx="59">
                  <c:v>152.9</c:v>
                </c:pt>
                <c:pt idx="60">
                  <c:v>153.5</c:v>
                </c:pt>
                <c:pt idx="61">
                  <c:v>154</c:v>
                </c:pt>
                <c:pt idx="62">
                  <c:v>155.30000000000001</c:v>
                </c:pt>
                <c:pt idx="63">
                  <c:v>154.4</c:v>
                </c:pt>
                <c:pt idx="64">
                  <c:v>154.69999999999999</c:v>
                </c:pt>
                <c:pt idx="65">
                  <c:v>156.69999999999999</c:v>
                </c:pt>
                <c:pt idx="66">
                  <c:v>156.4</c:v>
                </c:pt>
                <c:pt idx="67">
                  <c:v>155.69999999999999</c:v>
                </c:pt>
                <c:pt idx="68">
                  <c:v>155</c:v>
                </c:pt>
                <c:pt idx="69">
                  <c:v>154.9</c:v>
                </c:pt>
                <c:pt idx="70">
                  <c:v>154.80000000000001</c:v>
                </c:pt>
                <c:pt idx="71">
                  <c:v>154.19999999999999</c:v>
                </c:pt>
                <c:pt idx="72">
                  <c:v>153.69999999999999</c:v>
                </c:pt>
                <c:pt idx="73">
                  <c:v>153.69999999999999</c:v>
                </c:pt>
                <c:pt idx="74">
                  <c:v>154.4</c:v>
                </c:pt>
                <c:pt idx="75">
                  <c:v>155.19999999999999</c:v>
                </c:pt>
                <c:pt idx="76">
                  <c:v>155.19999999999999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91-4892-B514-6365D631E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716672"/>
        <c:axId val="79656576"/>
      </c:lineChart>
      <c:dateAx>
        <c:axId val="122716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79656576"/>
        <c:crosses val="autoZero"/>
        <c:auto val="1"/>
        <c:lblOffset val="100"/>
        <c:baseTimeUnit val="months"/>
      </c:dateAx>
      <c:valAx>
        <c:axId val="7965657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22716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'Corrected Index (2)'!$F$2:$F$3</c:f>
              <c:strCache>
                <c:ptCount val="2"/>
                <c:pt idx="0">
                  <c:v>INDICES</c:v>
                </c:pt>
                <c:pt idx="1">
                  <c:v>TMT </c:v>
                </c:pt>
              </c:strCache>
            </c:strRef>
          </c:tx>
          <c:marker>
            <c:symbol val="none"/>
          </c:marker>
          <c:cat>
            <c:numRef>
              <c:f>'Corrected Index (2)'!$B$5:$B$81</c:f>
              <c:numCache>
                <c:formatCode>mmm\-yy</c:formatCode>
                <c:ptCount val="77"/>
                <c:pt idx="0">
                  <c:v>43586</c:v>
                </c:pt>
                <c:pt idx="1">
                  <c:v>43617</c:v>
                </c:pt>
                <c:pt idx="2">
                  <c:v>43647</c:v>
                </c:pt>
                <c:pt idx="3">
                  <c:v>43678</c:v>
                </c:pt>
                <c:pt idx="4">
                  <c:v>43709</c:v>
                </c:pt>
                <c:pt idx="5">
                  <c:v>43739</c:v>
                </c:pt>
                <c:pt idx="6">
                  <c:v>43770</c:v>
                </c:pt>
                <c:pt idx="7">
                  <c:v>43800</c:v>
                </c:pt>
                <c:pt idx="8">
                  <c:v>43831</c:v>
                </c:pt>
                <c:pt idx="9">
                  <c:v>43862</c:v>
                </c:pt>
                <c:pt idx="10">
                  <c:v>43891</c:v>
                </c:pt>
                <c:pt idx="11">
                  <c:v>43922</c:v>
                </c:pt>
                <c:pt idx="12">
                  <c:v>43952</c:v>
                </c:pt>
                <c:pt idx="13">
                  <c:v>43983</c:v>
                </c:pt>
                <c:pt idx="14">
                  <c:v>44013</c:v>
                </c:pt>
                <c:pt idx="15">
                  <c:v>44044</c:v>
                </c:pt>
                <c:pt idx="16">
                  <c:v>44075</c:v>
                </c:pt>
                <c:pt idx="17">
                  <c:v>44105</c:v>
                </c:pt>
                <c:pt idx="18">
                  <c:v>44136</c:v>
                </c:pt>
                <c:pt idx="19">
                  <c:v>44166</c:v>
                </c:pt>
                <c:pt idx="20">
                  <c:v>44197</c:v>
                </c:pt>
                <c:pt idx="21">
                  <c:v>44228</c:v>
                </c:pt>
                <c:pt idx="22">
                  <c:v>44256</c:v>
                </c:pt>
                <c:pt idx="23">
                  <c:v>44287</c:v>
                </c:pt>
                <c:pt idx="24">
                  <c:v>44317</c:v>
                </c:pt>
                <c:pt idx="25">
                  <c:v>44348</c:v>
                </c:pt>
                <c:pt idx="26">
                  <c:v>44378</c:v>
                </c:pt>
                <c:pt idx="27">
                  <c:v>44409</c:v>
                </c:pt>
                <c:pt idx="28">
                  <c:v>44440</c:v>
                </c:pt>
                <c:pt idx="29">
                  <c:v>44470</c:v>
                </c:pt>
                <c:pt idx="30">
                  <c:v>44501</c:v>
                </c:pt>
                <c:pt idx="31">
                  <c:v>44531</c:v>
                </c:pt>
                <c:pt idx="32">
                  <c:v>44562</c:v>
                </c:pt>
                <c:pt idx="33">
                  <c:v>44593</c:v>
                </c:pt>
                <c:pt idx="34">
                  <c:v>44621</c:v>
                </c:pt>
                <c:pt idx="35">
                  <c:v>44652</c:v>
                </c:pt>
                <c:pt idx="36">
                  <c:v>44682</c:v>
                </c:pt>
                <c:pt idx="37">
                  <c:v>44713</c:v>
                </c:pt>
                <c:pt idx="38">
                  <c:v>44743</c:v>
                </c:pt>
                <c:pt idx="39">
                  <c:v>44774</c:v>
                </c:pt>
                <c:pt idx="40">
                  <c:v>44805</c:v>
                </c:pt>
                <c:pt idx="41">
                  <c:v>44835</c:v>
                </c:pt>
                <c:pt idx="42">
                  <c:v>44866</c:v>
                </c:pt>
                <c:pt idx="43">
                  <c:v>44896</c:v>
                </c:pt>
                <c:pt idx="44">
                  <c:v>44927</c:v>
                </c:pt>
                <c:pt idx="45">
                  <c:v>44958</c:v>
                </c:pt>
                <c:pt idx="46">
                  <c:v>44986</c:v>
                </c:pt>
                <c:pt idx="47">
                  <c:v>45017</c:v>
                </c:pt>
                <c:pt idx="48">
                  <c:v>45047</c:v>
                </c:pt>
                <c:pt idx="49">
                  <c:v>45078</c:v>
                </c:pt>
                <c:pt idx="50">
                  <c:v>45108</c:v>
                </c:pt>
                <c:pt idx="51">
                  <c:v>45139</c:v>
                </c:pt>
                <c:pt idx="52">
                  <c:v>45170</c:v>
                </c:pt>
                <c:pt idx="53">
                  <c:v>45200</c:v>
                </c:pt>
                <c:pt idx="54">
                  <c:v>45231</c:v>
                </c:pt>
                <c:pt idx="55">
                  <c:v>45261</c:v>
                </c:pt>
                <c:pt idx="56">
                  <c:v>45292</c:v>
                </c:pt>
                <c:pt idx="57">
                  <c:v>45323</c:v>
                </c:pt>
                <c:pt idx="58">
                  <c:v>45352</c:v>
                </c:pt>
                <c:pt idx="59">
                  <c:v>45383</c:v>
                </c:pt>
                <c:pt idx="60">
                  <c:v>45413</c:v>
                </c:pt>
                <c:pt idx="61">
                  <c:v>45444</c:v>
                </c:pt>
                <c:pt idx="62">
                  <c:v>45474</c:v>
                </c:pt>
                <c:pt idx="63">
                  <c:v>45505</c:v>
                </c:pt>
                <c:pt idx="64">
                  <c:v>45536</c:v>
                </c:pt>
                <c:pt idx="65">
                  <c:v>45566</c:v>
                </c:pt>
                <c:pt idx="66">
                  <c:v>45597</c:v>
                </c:pt>
                <c:pt idx="67">
                  <c:v>45627</c:v>
                </c:pt>
                <c:pt idx="68">
                  <c:v>45658</c:v>
                </c:pt>
                <c:pt idx="69">
                  <c:v>45689</c:v>
                </c:pt>
                <c:pt idx="70">
                  <c:v>45717</c:v>
                </c:pt>
                <c:pt idx="71">
                  <c:v>45748</c:v>
                </c:pt>
                <c:pt idx="72">
                  <c:v>45778</c:v>
                </c:pt>
                <c:pt idx="73">
                  <c:v>45809</c:v>
                </c:pt>
                <c:pt idx="74">
                  <c:v>45839</c:v>
                </c:pt>
                <c:pt idx="75">
                  <c:v>45870</c:v>
                </c:pt>
                <c:pt idx="76">
                  <c:v>45901</c:v>
                </c:pt>
              </c:numCache>
            </c:numRef>
          </c:cat>
          <c:val>
            <c:numRef>
              <c:f>'Corrected Index (2)'!$F$5:$F$81</c:f>
              <c:numCache>
                <c:formatCode>0.00</c:formatCode>
                <c:ptCount val="77"/>
                <c:pt idx="0">
                  <c:v>109.4</c:v>
                </c:pt>
                <c:pt idx="1">
                  <c:v>108.4</c:v>
                </c:pt>
                <c:pt idx="2">
                  <c:v>106.1</c:v>
                </c:pt>
                <c:pt idx="3">
                  <c:v>104.2</c:v>
                </c:pt>
                <c:pt idx="4">
                  <c:v>103.4</c:v>
                </c:pt>
                <c:pt idx="5">
                  <c:v>102.6</c:v>
                </c:pt>
                <c:pt idx="6">
                  <c:v>101.9</c:v>
                </c:pt>
                <c:pt idx="7">
                  <c:v>103.1</c:v>
                </c:pt>
                <c:pt idx="8">
                  <c:v>104.9</c:v>
                </c:pt>
                <c:pt idx="9">
                  <c:v>105.6</c:v>
                </c:pt>
                <c:pt idx="10">
                  <c:v>106.6</c:v>
                </c:pt>
                <c:pt idx="11">
                  <c:v>106.2</c:v>
                </c:pt>
                <c:pt idx="12">
                  <c:v>105.6</c:v>
                </c:pt>
                <c:pt idx="13">
                  <c:v>104.8</c:v>
                </c:pt>
                <c:pt idx="14">
                  <c:v>102.8</c:v>
                </c:pt>
                <c:pt idx="15">
                  <c:v>104.5</c:v>
                </c:pt>
                <c:pt idx="16">
                  <c:v>106.3</c:v>
                </c:pt>
                <c:pt idx="17">
                  <c:v>108</c:v>
                </c:pt>
                <c:pt idx="18">
                  <c:v>112.8</c:v>
                </c:pt>
                <c:pt idx="19">
                  <c:v>118.2</c:v>
                </c:pt>
                <c:pt idx="20">
                  <c:v>125.6</c:v>
                </c:pt>
                <c:pt idx="21">
                  <c:v>124.7</c:v>
                </c:pt>
                <c:pt idx="22">
                  <c:v>124.6</c:v>
                </c:pt>
                <c:pt idx="23">
                  <c:v>127.6</c:v>
                </c:pt>
                <c:pt idx="24">
                  <c:v>130.9</c:v>
                </c:pt>
                <c:pt idx="25">
                  <c:v>131.69999999999999</c:v>
                </c:pt>
                <c:pt idx="26">
                  <c:v>131.4</c:v>
                </c:pt>
                <c:pt idx="27">
                  <c:v>132.9</c:v>
                </c:pt>
                <c:pt idx="28">
                  <c:v>133.6</c:v>
                </c:pt>
                <c:pt idx="29">
                  <c:v>140.80000000000001</c:v>
                </c:pt>
                <c:pt idx="30">
                  <c:v>140.4</c:v>
                </c:pt>
                <c:pt idx="31">
                  <c:v>139</c:v>
                </c:pt>
                <c:pt idx="32">
                  <c:v>139.9</c:v>
                </c:pt>
                <c:pt idx="33">
                  <c:v>144.80000000000001</c:v>
                </c:pt>
                <c:pt idx="34">
                  <c:v>155.9</c:v>
                </c:pt>
                <c:pt idx="35">
                  <c:v>159.1</c:v>
                </c:pt>
                <c:pt idx="36">
                  <c:v>156.69999999999999</c:v>
                </c:pt>
                <c:pt idx="37">
                  <c:v>151.6</c:v>
                </c:pt>
                <c:pt idx="38">
                  <c:v>149.9</c:v>
                </c:pt>
                <c:pt idx="39">
                  <c:v>149.4</c:v>
                </c:pt>
                <c:pt idx="40">
                  <c:v>146.80000000000001</c:v>
                </c:pt>
                <c:pt idx="41">
                  <c:v>147.9</c:v>
                </c:pt>
                <c:pt idx="42">
                  <c:v>145</c:v>
                </c:pt>
                <c:pt idx="43">
                  <c:v>145.69999999999999</c:v>
                </c:pt>
                <c:pt idx="44">
                  <c:v>148.30000000000001</c:v>
                </c:pt>
                <c:pt idx="45">
                  <c:v>148.4</c:v>
                </c:pt>
                <c:pt idx="46">
                  <c:v>147.6</c:v>
                </c:pt>
                <c:pt idx="47">
                  <c:v>145.69999999999999</c:v>
                </c:pt>
                <c:pt idx="48">
                  <c:v>144.4</c:v>
                </c:pt>
                <c:pt idx="49">
                  <c:v>141.69999999999999</c:v>
                </c:pt>
                <c:pt idx="50">
                  <c:v>139.5</c:v>
                </c:pt>
                <c:pt idx="51">
                  <c:v>140.80000000000001</c:v>
                </c:pt>
                <c:pt idx="52">
                  <c:v>143.80000000000001</c:v>
                </c:pt>
                <c:pt idx="53">
                  <c:v>143.1</c:v>
                </c:pt>
                <c:pt idx="54">
                  <c:v>143.19999999999999</c:v>
                </c:pt>
                <c:pt idx="55">
                  <c:v>139.69999999999999</c:v>
                </c:pt>
                <c:pt idx="56">
                  <c:v>138.30000000000001</c:v>
                </c:pt>
                <c:pt idx="57">
                  <c:v>138.30000000000001</c:v>
                </c:pt>
                <c:pt idx="58">
                  <c:v>138.9</c:v>
                </c:pt>
                <c:pt idx="59">
                  <c:v>142.30000000000001</c:v>
                </c:pt>
                <c:pt idx="60">
                  <c:v>144.5</c:v>
                </c:pt>
                <c:pt idx="61">
                  <c:v>143.6</c:v>
                </c:pt>
                <c:pt idx="62">
                  <c:v>139.69999999999999</c:v>
                </c:pt>
                <c:pt idx="63">
                  <c:v>138.6</c:v>
                </c:pt>
                <c:pt idx="64">
                  <c:v>138.9</c:v>
                </c:pt>
                <c:pt idx="65">
                  <c:v>140</c:v>
                </c:pt>
                <c:pt idx="66">
                  <c:v>140.19999999999999</c:v>
                </c:pt>
                <c:pt idx="67">
                  <c:v>139.5</c:v>
                </c:pt>
                <c:pt idx="68">
                  <c:v>138.5</c:v>
                </c:pt>
                <c:pt idx="69">
                  <c:v>138.69999999999999</c:v>
                </c:pt>
                <c:pt idx="70">
                  <c:v>140</c:v>
                </c:pt>
                <c:pt idx="71">
                  <c:v>140.80000000000001</c:v>
                </c:pt>
                <c:pt idx="72">
                  <c:v>138.69999999999999</c:v>
                </c:pt>
                <c:pt idx="73">
                  <c:v>137.19999999999999</c:v>
                </c:pt>
                <c:pt idx="74">
                  <c:v>135.4</c:v>
                </c:pt>
                <c:pt idx="75">
                  <c:v>135.80000000000001</c:v>
                </c:pt>
                <c:pt idx="76">
                  <c:v>135.80000000000001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B1-4C24-BCBC-67A482C4E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717696"/>
        <c:axId val="79658304"/>
      </c:lineChart>
      <c:dateAx>
        <c:axId val="1227176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79658304"/>
        <c:crosses val="autoZero"/>
        <c:auto val="1"/>
        <c:lblOffset val="100"/>
        <c:baseTimeUnit val="months"/>
      </c:dateAx>
      <c:valAx>
        <c:axId val="79658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22717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'Corrected Index (2)'!$G$2:$G$3</c:f>
              <c:strCache>
                <c:ptCount val="2"/>
                <c:pt idx="0">
                  <c:v>INDICES</c:v>
                </c:pt>
                <c:pt idx="1">
                  <c:v>CEMENT </c:v>
                </c:pt>
              </c:strCache>
            </c:strRef>
          </c:tx>
          <c:marker>
            <c:symbol val="none"/>
          </c:marker>
          <c:cat>
            <c:numRef>
              <c:f>'Corrected Index (2)'!$B$5:$B$81</c:f>
              <c:numCache>
                <c:formatCode>mmm\-yy</c:formatCode>
                <c:ptCount val="77"/>
                <c:pt idx="0">
                  <c:v>43586</c:v>
                </c:pt>
                <c:pt idx="1">
                  <c:v>43617</c:v>
                </c:pt>
                <c:pt idx="2">
                  <c:v>43647</c:v>
                </c:pt>
                <c:pt idx="3">
                  <c:v>43678</c:v>
                </c:pt>
                <c:pt idx="4">
                  <c:v>43709</c:v>
                </c:pt>
                <c:pt idx="5">
                  <c:v>43739</c:v>
                </c:pt>
                <c:pt idx="6">
                  <c:v>43770</c:v>
                </c:pt>
                <c:pt idx="7">
                  <c:v>43800</c:v>
                </c:pt>
                <c:pt idx="8">
                  <c:v>43831</c:v>
                </c:pt>
                <c:pt idx="9">
                  <c:v>43862</c:v>
                </c:pt>
                <c:pt idx="10">
                  <c:v>43891</c:v>
                </c:pt>
                <c:pt idx="11">
                  <c:v>43922</c:v>
                </c:pt>
                <c:pt idx="12">
                  <c:v>43952</c:v>
                </c:pt>
                <c:pt idx="13">
                  <c:v>43983</c:v>
                </c:pt>
                <c:pt idx="14">
                  <c:v>44013</c:v>
                </c:pt>
                <c:pt idx="15">
                  <c:v>44044</c:v>
                </c:pt>
                <c:pt idx="16">
                  <c:v>44075</c:v>
                </c:pt>
                <c:pt idx="17">
                  <c:v>44105</c:v>
                </c:pt>
                <c:pt idx="18">
                  <c:v>44136</c:v>
                </c:pt>
                <c:pt idx="19">
                  <c:v>44166</c:v>
                </c:pt>
                <c:pt idx="20">
                  <c:v>44197</c:v>
                </c:pt>
                <c:pt idx="21">
                  <c:v>44228</c:v>
                </c:pt>
                <c:pt idx="22">
                  <c:v>44256</c:v>
                </c:pt>
                <c:pt idx="23">
                  <c:v>44287</c:v>
                </c:pt>
                <c:pt idx="24">
                  <c:v>44317</c:v>
                </c:pt>
                <c:pt idx="25">
                  <c:v>44348</c:v>
                </c:pt>
                <c:pt idx="26">
                  <c:v>44378</c:v>
                </c:pt>
                <c:pt idx="27">
                  <c:v>44409</c:v>
                </c:pt>
                <c:pt idx="28">
                  <c:v>44440</c:v>
                </c:pt>
                <c:pt idx="29">
                  <c:v>44470</c:v>
                </c:pt>
                <c:pt idx="30">
                  <c:v>44501</c:v>
                </c:pt>
                <c:pt idx="31">
                  <c:v>44531</c:v>
                </c:pt>
                <c:pt idx="32">
                  <c:v>44562</c:v>
                </c:pt>
                <c:pt idx="33">
                  <c:v>44593</c:v>
                </c:pt>
                <c:pt idx="34">
                  <c:v>44621</c:v>
                </c:pt>
                <c:pt idx="35">
                  <c:v>44652</c:v>
                </c:pt>
                <c:pt idx="36">
                  <c:v>44682</c:v>
                </c:pt>
                <c:pt idx="37">
                  <c:v>44713</c:v>
                </c:pt>
                <c:pt idx="38">
                  <c:v>44743</c:v>
                </c:pt>
                <c:pt idx="39">
                  <c:v>44774</c:v>
                </c:pt>
                <c:pt idx="40">
                  <c:v>44805</c:v>
                </c:pt>
                <c:pt idx="41">
                  <c:v>44835</c:v>
                </c:pt>
                <c:pt idx="42">
                  <c:v>44866</c:v>
                </c:pt>
                <c:pt idx="43">
                  <c:v>44896</c:v>
                </c:pt>
                <c:pt idx="44">
                  <c:v>44927</c:v>
                </c:pt>
                <c:pt idx="45">
                  <c:v>44958</c:v>
                </c:pt>
                <c:pt idx="46">
                  <c:v>44986</c:v>
                </c:pt>
                <c:pt idx="47">
                  <c:v>45017</c:v>
                </c:pt>
                <c:pt idx="48">
                  <c:v>45047</c:v>
                </c:pt>
                <c:pt idx="49">
                  <c:v>45078</c:v>
                </c:pt>
                <c:pt idx="50">
                  <c:v>45108</c:v>
                </c:pt>
                <c:pt idx="51">
                  <c:v>45139</c:v>
                </c:pt>
                <c:pt idx="52">
                  <c:v>45170</c:v>
                </c:pt>
                <c:pt idx="53">
                  <c:v>45200</c:v>
                </c:pt>
                <c:pt idx="54">
                  <c:v>45231</c:v>
                </c:pt>
                <c:pt idx="55">
                  <c:v>45261</c:v>
                </c:pt>
                <c:pt idx="56">
                  <c:v>45292</c:v>
                </c:pt>
                <c:pt idx="57">
                  <c:v>45323</c:v>
                </c:pt>
                <c:pt idx="58">
                  <c:v>45352</c:v>
                </c:pt>
                <c:pt idx="59">
                  <c:v>45383</c:v>
                </c:pt>
                <c:pt idx="60">
                  <c:v>45413</c:v>
                </c:pt>
                <c:pt idx="61">
                  <c:v>45444</c:v>
                </c:pt>
                <c:pt idx="62">
                  <c:v>45474</c:v>
                </c:pt>
                <c:pt idx="63">
                  <c:v>45505</c:v>
                </c:pt>
                <c:pt idx="64">
                  <c:v>45536</c:v>
                </c:pt>
                <c:pt idx="65">
                  <c:v>45566</c:v>
                </c:pt>
                <c:pt idx="66">
                  <c:v>45597</c:v>
                </c:pt>
                <c:pt idx="67">
                  <c:v>45627</c:v>
                </c:pt>
                <c:pt idx="68">
                  <c:v>45658</c:v>
                </c:pt>
                <c:pt idx="69">
                  <c:v>45689</c:v>
                </c:pt>
                <c:pt idx="70">
                  <c:v>45717</c:v>
                </c:pt>
                <c:pt idx="71">
                  <c:v>45748</c:v>
                </c:pt>
                <c:pt idx="72">
                  <c:v>45778</c:v>
                </c:pt>
                <c:pt idx="73">
                  <c:v>45809</c:v>
                </c:pt>
                <c:pt idx="74">
                  <c:v>45839</c:v>
                </c:pt>
                <c:pt idx="75">
                  <c:v>45870</c:v>
                </c:pt>
                <c:pt idx="76">
                  <c:v>45901</c:v>
                </c:pt>
              </c:numCache>
            </c:numRef>
          </c:cat>
          <c:val>
            <c:numRef>
              <c:f>'Corrected Index (2)'!$G$5:$G$81</c:f>
              <c:numCache>
                <c:formatCode>0.00</c:formatCode>
                <c:ptCount val="77"/>
                <c:pt idx="0">
                  <c:v>123.2</c:v>
                </c:pt>
                <c:pt idx="1">
                  <c:v>122.5</c:v>
                </c:pt>
                <c:pt idx="2">
                  <c:v>120.6</c:v>
                </c:pt>
                <c:pt idx="3">
                  <c:v>118.5</c:v>
                </c:pt>
                <c:pt idx="4">
                  <c:v>120.7</c:v>
                </c:pt>
                <c:pt idx="5">
                  <c:v>118.6</c:v>
                </c:pt>
                <c:pt idx="6">
                  <c:v>119.6</c:v>
                </c:pt>
                <c:pt idx="7">
                  <c:v>119.2</c:v>
                </c:pt>
                <c:pt idx="8">
                  <c:v>118</c:v>
                </c:pt>
                <c:pt idx="9">
                  <c:v>119.8</c:v>
                </c:pt>
                <c:pt idx="10">
                  <c:v>119.7</c:v>
                </c:pt>
                <c:pt idx="11">
                  <c:v>123.3</c:v>
                </c:pt>
                <c:pt idx="12">
                  <c:v>124.6</c:v>
                </c:pt>
                <c:pt idx="13">
                  <c:v>123.2</c:v>
                </c:pt>
                <c:pt idx="14">
                  <c:v>121.5</c:v>
                </c:pt>
                <c:pt idx="15">
                  <c:v>119.7</c:v>
                </c:pt>
                <c:pt idx="16">
                  <c:v>118.3</c:v>
                </c:pt>
                <c:pt idx="17">
                  <c:v>117.8</c:v>
                </c:pt>
                <c:pt idx="18">
                  <c:v>118.7</c:v>
                </c:pt>
                <c:pt idx="19">
                  <c:v>118.1</c:v>
                </c:pt>
                <c:pt idx="20">
                  <c:v>118.5</c:v>
                </c:pt>
                <c:pt idx="21">
                  <c:v>120.6</c:v>
                </c:pt>
                <c:pt idx="22">
                  <c:v>125</c:v>
                </c:pt>
                <c:pt idx="23">
                  <c:v>125.7</c:v>
                </c:pt>
                <c:pt idx="24">
                  <c:v>123.6</c:v>
                </c:pt>
                <c:pt idx="25">
                  <c:v>123.6</c:v>
                </c:pt>
                <c:pt idx="26">
                  <c:v>124.7</c:v>
                </c:pt>
                <c:pt idx="27">
                  <c:v>123.3</c:v>
                </c:pt>
                <c:pt idx="28">
                  <c:v>122.6</c:v>
                </c:pt>
                <c:pt idx="29">
                  <c:v>125.3</c:v>
                </c:pt>
                <c:pt idx="30">
                  <c:v>127.7</c:v>
                </c:pt>
                <c:pt idx="31">
                  <c:v>125.5</c:v>
                </c:pt>
                <c:pt idx="32">
                  <c:v>124.3</c:v>
                </c:pt>
                <c:pt idx="33">
                  <c:v>127.9</c:v>
                </c:pt>
                <c:pt idx="34">
                  <c:v>130.1</c:v>
                </c:pt>
                <c:pt idx="35">
                  <c:v>133.5</c:v>
                </c:pt>
                <c:pt idx="36">
                  <c:v>135.1</c:v>
                </c:pt>
                <c:pt idx="37">
                  <c:v>138</c:v>
                </c:pt>
                <c:pt idx="38">
                  <c:v>135</c:v>
                </c:pt>
                <c:pt idx="39">
                  <c:v>133.80000000000001</c:v>
                </c:pt>
                <c:pt idx="40">
                  <c:v>133.4</c:v>
                </c:pt>
                <c:pt idx="41">
                  <c:v>133.5</c:v>
                </c:pt>
                <c:pt idx="42">
                  <c:v>134.5</c:v>
                </c:pt>
                <c:pt idx="43">
                  <c:v>135</c:v>
                </c:pt>
                <c:pt idx="44">
                  <c:v>136.6</c:v>
                </c:pt>
                <c:pt idx="45">
                  <c:v>136.5</c:v>
                </c:pt>
                <c:pt idx="46">
                  <c:v>136.80000000000001</c:v>
                </c:pt>
                <c:pt idx="47">
                  <c:v>136</c:v>
                </c:pt>
                <c:pt idx="48">
                  <c:v>134.69999999999999</c:v>
                </c:pt>
                <c:pt idx="49">
                  <c:v>135</c:v>
                </c:pt>
                <c:pt idx="50">
                  <c:v>135.6</c:v>
                </c:pt>
                <c:pt idx="51">
                  <c:v>136.19999999999999</c:v>
                </c:pt>
                <c:pt idx="52">
                  <c:v>134.9</c:v>
                </c:pt>
                <c:pt idx="53">
                  <c:v>136.69999999999999</c:v>
                </c:pt>
                <c:pt idx="54">
                  <c:v>135.30000000000001</c:v>
                </c:pt>
                <c:pt idx="55">
                  <c:v>135.9</c:v>
                </c:pt>
                <c:pt idx="56">
                  <c:v>135.5</c:v>
                </c:pt>
                <c:pt idx="57">
                  <c:v>134.1</c:v>
                </c:pt>
                <c:pt idx="58">
                  <c:v>132</c:v>
                </c:pt>
                <c:pt idx="59">
                  <c:v>131.1</c:v>
                </c:pt>
                <c:pt idx="60">
                  <c:v>129.30000000000001</c:v>
                </c:pt>
                <c:pt idx="61">
                  <c:v>126.8</c:v>
                </c:pt>
                <c:pt idx="62">
                  <c:v>124</c:v>
                </c:pt>
                <c:pt idx="63">
                  <c:v>122.6</c:v>
                </c:pt>
                <c:pt idx="64">
                  <c:v>125</c:v>
                </c:pt>
                <c:pt idx="65">
                  <c:v>124.6</c:v>
                </c:pt>
                <c:pt idx="66">
                  <c:v>125.3</c:v>
                </c:pt>
                <c:pt idx="67">
                  <c:v>127.9</c:v>
                </c:pt>
                <c:pt idx="68">
                  <c:v>128.19999999999999</c:v>
                </c:pt>
                <c:pt idx="69">
                  <c:v>128.9</c:v>
                </c:pt>
                <c:pt idx="70">
                  <c:v>129.30000000000001</c:v>
                </c:pt>
                <c:pt idx="71">
                  <c:v>127.6</c:v>
                </c:pt>
                <c:pt idx="72">
                  <c:v>131</c:v>
                </c:pt>
                <c:pt idx="73">
                  <c:v>131.30000000000001</c:v>
                </c:pt>
                <c:pt idx="74">
                  <c:v>131.4</c:v>
                </c:pt>
                <c:pt idx="75">
                  <c:v>131</c:v>
                </c:pt>
                <c:pt idx="76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3C8-AD8B-21D2A788C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718208"/>
        <c:axId val="124331136"/>
      </c:lineChart>
      <c:dateAx>
        <c:axId val="1227182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4331136"/>
        <c:crosses val="autoZero"/>
        <c:auto val="1"/>
        <c:lblOffset val="100"/>
        <c:baseTimeUnit val="months"/>
      </c:dateAx>
      <c:valAx>
        <c:axId val="1243311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22718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'Corrected Index (2)'!$C$2:$C$3</c:f>
              <c:strCache>
                <c:ptCount val="2"/>
                <c:pt idx="0">
                  <c:v>INDICES</c:v>
                </c:pt>
                <c:pt idx="1">
                  <c:v>Labour </c:v>
                </c:pt>
              </c:strCache>
            </c:strRef>
          </c:tx>
          <c:marker>
            <c:symbol val="none"/>
          </c:marker>
          <c:cat>
            <c:numRef>
              <c:f>'Corrected Index (2)'!$B$4:$B$81</c:f>
              <c:numCache>
                <c:formatCode>mmm\-yy</c:formatCode>
                <c:ptCount val="77"/>
                <c:pt idx="0">
                  <c:v>43586</c:v>
                </c:pt>
                <c:pt idx="1">
                  <c:v>43617</c:v>
                </c:pt>
                <c:pt idx="2">
                  <c:v>43647</c:v>
                </c:pt>
                <c:pt idx="3">
                  <c:v>43678</c:v>
                </c:pt>
                <c:pt idx="4">
                  <c:v>43709</c:v>
                </c:pt>
                <c:pt idx="5">
                  <c:v>43739</c:v>
                </c:pt>
                <c:pt idx="6">
                  <c:v>43770</c:v>
                </c:pt>
                <c:pt idx="7">
                  <c:v>43800</c:v>
                </c:pt>
                <c:pt idx="8">
                  <c:v>43831</c:v>
                </c:pt>
                <c:pt idx="9">
                  <c:v>43862</c:v>
                </c:pt>
                <c:pt idx="10">
                  <c:v>43891</c:v>
                </c:pt>
                <c:pt idx="11">
                  <c:v>43922</c:v>
                </c:pt>
                <c:pt idx="12">
                  <c:v>43952</c:v>
                </c:pt>
                <c:pt idx="13">
                  <c:v>43983</c:v>
                </c:pt>
                <c:pt idx="14">
                  <c:v>44013</c:v>
                </c:pt>
                <c:pt idx="15">
                  <c:v>44044</c:v>
                </c:pt>
                <c:pt idx="16">
                  <c:v>44075</c:v>
                </c:pt>
                <c:pt idx="17">
                  <c:v>44105</c:v>
                </c:pt>
                <c:pt idx="18">
                  <c:v>44136</c:v>
                </c:pt>
                <c:pt idx="19">
                  <c:v>44166</c:v>
                </c:pt>
                <c:pt idx="20">
                  <c:v>44197</c:v>
                </c:pt>
                <c:pt idx="21">
                  <c:v>44228</c:v>
                </c:pt>
                <c:pt idx="22">
                  <c:v>44256</c:v>
                </c:pt>
                <c:pt idx="23">
                  <c:v>44287</c:v>
                </c:pt>
                <c:pt idx="24">
                  <c:v>44317</c:v>
                </c:pt>
                <c:pt idx="25">
                  <c:v>44348</c:v>
                </c:pt>
                <c:pt idx="26">
                  <c:v>44378</c:v>
                </c:pt>
                <c:pt idx="27">
                  <c:v>44409</c:v>
                </c:pt>
                <c:pt idx="28">
                  <c:v>44440</c:v>
                </c:pt>
                <c:pt idx="29">
                  <c:v>44470</c:v>
                </c:pt>
                <c:pt idx="30">
                  <c:v>44501</c:v>
                </c:pt>
                <c:pt idx="31">
                  <c:v>44531</c:v>
                </c:pt>
                <c:pt idx="32">
                  <c:v>44562</c:v>
                </c:pt>
                <c:pt idx="33">
                  <c:v>44593</c:v>
                </c:pt>
                <c:pt idx="34">
                  <c:v>44621</c:v>
                </c:pt>
                <c:pt idx="35">
                  <c:v>44652</c:v>
                </c:pt>
                <c:pt idx="36">
                  <c:v>44682</c:v>
                </c:pt>
                <c:pt idx="37">
                  <c:v>44713</c:v>
                </c:pt>
                <c:pt idx="38">
                  <c:v>44743</c:v>
                </c:pt>
                <c:pt idx="39">
                  <c:v>44774</c:v>
                </c:pt>
                <c:pt idx="40">
                  <c:v>44805</c:v>
                </c:pt>
                <c:pt idx="41">
                  <c:v>44835</c:v>
                </c:pt>
                <c:pt idx="42">
                  <c:v>44866</c:v>
                </c:pt>
                <c:pt idx="43">
                  <c:v>44896</c:v>
                </c:pt>
                <c:pt idx="44">
                  <c:v>44927</c:v>
                </c:pt>
                <c:pt idx="45">
                  <c:v>44958</c:v>
                </c:pt>
                <c:pt idx="46">
                  <c:v>44986</c:v>
                </c:pt>
                <c:pt idx="47">
                  <c:v>45017</c:v>
                </c:pt>
                <c:pt idx="48">
                  <c:v>45047</c:v>
                </c:pt>
                <c:pt idx="49">
                  <c:v>45078</c:v>
                </c:pt>
                <c:pt idx="50">
                  <c:v>45108</c:v>
                </c:pt>
                <c:pt idx="51">
                  <c:v>45139</c:v>
                </c:pt>
                <c:pt idx="52">
                  <c:v>45170</c:v>
                </c:pt>
                <c:pt idx="53">
                  <c:v>45200</c:v>
                </c:pt>
                <c:pt idx="54">
                  <c:v>45231</c:v>
                </c:pt>
                <c:pt idx="55">
                  <c:v>45261</c:v>
                </c:pt>
                <c:pt idx="56">
                  <c:v>45292</c:v>
                </c:pt>
                <c:pt idx="57">
                  <c:v>45323</c:v>
                </c:pt>
                <c:pt idx="58">
                  <c:v>45352</c:v>
                </c:pt>
                <c:pt idx="59">
                  <c:v>45383</c:v>
                </c:pt>
                <c:pt idx="60">
                  <c:v>45413</c:v>
                </c:pt>
                <c:pt idx="61">
                  <c:v>45444</c:v>
                </c:pt>
                <c:pt idx="62">
                  <c:v>45474</c:v>
                </c:pt>
                <c:pt idx="63">
                  <c:v>45505</c:v>
                </c:pt>
                <c:pt idx="64">
                  <c:v>45536</c:v>
                </c:pt>
                <c:pt idx="65">
                  <c:v>45566</c:v>
                </c:pt>
                <c:pt idx="66">
                  <c:v>45597</c:v>
                </c:pt>
                <c:pt idx="67">
                  <c:v>45627</c:v>
                </c:pt>
                <c:pt idx="68">
                  <c:v>45658</c:v>
                </c:pt>
                <c:pt idx="69">
                  <c:v>45689</c:v>
                </c:pt>
                <c:pt idx="70">
                  <c:v>45717</c:v>
                </c:pt>
                <c:pt idx="71">
                  <c:v>45748</c:v>
                </c:pt>
                <c:pt idx="72">
                  <c:v>45778</c:v>
                </c:pt>
                <c:pt idx="73">
                  <c:v>45809</c:v>
                </c:pt>
                <c:pt idx="74">
                  <c:v>45839</c:v>
                </c:pt>
                <c:pt idx="75">
                  <c:v>45870</c:v>
                </c:pt>
                <c:pt idx="76">
                  <c:v>45901</c:v>
                </c:pt>
              </c:numCache>
            </c:numRef>
          </c:cat>
          <c:val>
            <c:numRef>
              <c:f>'Corrected Index (2)'!$C$4:$C$81</c:f>
              <c:numCache>
                <c:formatCode>0.00</c:formatCode>
                <c:ptCount val="77"/>
                <c:pt idx="0">
                  <c:v>314</c:v>
                </c:pt>
                <c:pt idx="1">
                  <c:v>316</c:v>
                </c:pt>
                <c:pt idx="2">
                  <c:v>319</c:v>
                </c:pt>
                <c:pt idx="3">
                  <c:v>320</c:v>
                </c:pt>
                <c:pt idx="4">
                  <c:v>322</c:v>
                </c:pt>
                <c:pt idx="5">
                  <c:v>325</c:v>
                </c:pt>
                <c:pt idx="6">
                  <c:v>328</c:v>
                </c:pt>
                <c:pt idx="7">
                  <c:v>330</c:v>
                </c:pt>
                <c:pt idx="8">
                  <c:v>330</c:v>
                </c:pt>
                <c:pt idx="9">
                  <c:v>328</c:v>
                </c:pt>
                <c:pt idx="10">
                  <c:v>326</c:v>
                </c:pt>
                <c:pt idx="11">
                  <c:v>329</c:v>
                </c:pt>
                <c:pt idx="12">
                  <c:v>330</c:v>
                </c:pt>
                <c:pt idx="13">
                  <c:v>332</c:v>
                </c:pt>
                <c:pt idx="14">
                  <c:v>336</c:v>
                </c:pt>
                <c:pt idx="15">
                  <c:v>338</c:v>
                </c:pt>
                <c:pt idx="16">
                  <c:v>369.334</c:v>
                </c:pt>
                <c:pt idx="17">
                  <c:v>371.26600000000002</c:v>
                </c:pt>
                <c:pt idx="18">
                  <c:v>372.87600000000003</c:v>
                </c:pt>
                <c:pt idx="19">
                  <c:v>371.58800000000002</c:v>
                </c:pt>
                <c:pt idx="20">
                  <c:v>371.91</c:v>
                </c:pt>
                <c:pt idx="21">
                  <c:v>374.48599999999999</c:v>
                </c:pt>
                <c:pt idx="22">
                  <c:v>377.06200000000001</c:v>
                </c:pt>
                <c:pt idx="23">
                  <c:v>379.63800000000003</c:v>
                </c:pt>
                <c:pt idx="24">
                  <c:v>377.06200000000001</c:v>
                </c:pt>
                <c:pt idx="25">
                  <c:v>383.50200000000001</c:v>
                </c:pt>
                <c:pt idx="26">
                  <c:v>388.976</c:v>
                </c:pt>
                <c:pt idx="27">
                  <c:v>387.68800000000005</c:v>
                </c:pt>
                <c:pt idx="28">
                  <c:v>386.07800000000003</c:v>
                </c:pt>
                <c:pt idx="29">
                  <c:v>389.94200000000001</c:v>
                </c:pt>
                <c:pt idx="30">
                  <c:v>391.23</c:v>
                </c:pt>
                <c:pt idx="31">
                  <c:v>389.29800000000006</c:v>
                </c:pt>
                <c:pt idx="32">
                  <c:v>388.976</c:v>
                </c:pt>
                <c:pt idx="33">
                  <c:v>389.62</c:v>
                </c:pt>
                <c:pt idx="34">
                  <c:v>391.23</c:v>
                </c:pt>
                <c:pt idx="35">
                  <c:v>394.12800000000004</c:v>
                </c:pt>
                <c:pt idx="36">
                  <c:v>396.70400000000001</c:v>
                </c:pt>
                <c:pt idx="37">
                  <c:v>397.02600000000001</c:v>
                </c:pt>
                <c:pt idx="38">
                  <c:v>396.70400000000001</c:v>
                </c:pt>
                <c:pt idx="39">
                  <c:v>396.06</c:v>
                </c:pt>
                <c:pt idx="40">
                  <c:v>395.416</c:v>
                </c:pt>
                <c:pt idx="41">
                  <c:v>399.92400000000004</c:v>
                </c:pt>
                <c:pt idx="42">
                  <c:v>393.80600000000004</c:v>
                </c:pt>
                <c:pt idx="43">
                  <c:v>394.12800000000004</c:v>
                </c:pt>
                <c:pt idx="44">
                  <c:v>397.34800000000007</c:v>
                </c:pt>
                <c:pt idx="45">
                  <c:v>397.34800000000007</c:v>
                </c:pt>
                <c:pt idx="46">
                  <c:v>400.24600000000004</c:v>
                </c:pt>
                <c:pt idx="47">
                  <c:v>400.24600000000004</c:v>
                </c:pt>
                <c:pt idx="48">
                  <c:v>402.5</c:v>
                </c:pt>
                <c:pt idx="49">
                  <c:v>406.68600000000004</c:v>
                </c:pt>
                <c:pt idx="50">
                  <c:v>410.22800000000007</c:v>
                </c:pt>
                <c:pt idx="51">
                  <c:v>409.262</c:v>
                </c:pt>
                <c:pt idx="52">
                  <c:v>402.5</c:v>
                </c:pt>
                <c:pt idx="53">
                  <c:v>412.48200000000003</c:v>
                </c:pt>
                <c:pt idx="54">
                  <c:v>409.90600000000001</c:v>
                </c:pt>
                <c:pt idx="55">
                  <c:v>409.262</c:v>
                </c:pt>
                <c:pt idx="56">
                  <c:v>410.87200000000001</c:v>
                </c:pt>
                <c:pt idx="57">
                  <c:v>417.31200000000001</c:v>
                </c:pt>
                <c:pt idx="58">
                  <c:v>412.48200000000003</c:v>
                </c:pt>
                <c:pt idx="59">
                  <c:v>411.51600000000002</c:v>
                </c:pt>
                <c:pt idx="60">
                  <c:v>416.024</c:v>
                </c:pt>
                <c:pt idx="61">
                  <c:v>416.66800000000006</c:v>
                </c:pt>
                <c:pt idx="62">
                  <c:v>421.17600000000004</c:v>
                </c:pt>
                <c:pt idx="63">
                  <c:v>422.142</c:v>
                </c:pt>
                <c:pt idx="64">
                  <c:v>422.142</c:v>
                </c:pt>
                <c:pt idx="65">
                  <c:v>424.07400000000001</c:v>
                </c:pt>
                <c:pt idx="66">
                  <c:v>426.65000000000003</c:v>
                </c:pt>
                <c:pt idx="67">
                  <c:v>427.61600000000004</c:v>
                </c:pt>
                <c:pt idx="68">
                  <c:v>431.15800000000007</c:v>
                </c:pt>
                <c:pt idx="69">
                  <c:v>431.48</c:v>
                </c:pt>
                <c:pt idx="70">
                  <c:v>431.15800000000007</c:v>
                </c:pt>
                <c:pt idx="71">
                  <c:v>431.48</c:v>
                </c:pt>
                <c:pt idx="72">
                  <c:v>435.66600000000005</c:v>
                </c:pt>
                <c:pt idx="73">
                  <c:v>435.98800000000006</c:v>
                </c:pt>
                <c:pt idx="74">
                  <c:v>441.78399999999999</c:v>
                </c:pt>
                <c:pt idx="75">
                  <c:v>444.68200000000002</c:v>
                </c:pt>
                <c:pt idx="76">
                  <c:v>444.68200000000002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2B-4619-8FE3-FD9EEFCDF75C}"/>
            </c:ext>
          </c:extLst>
        </c:ser>
        <c:ser>
          <c:idx val="1"/>
          <c:order val="1"/>
          <c:tx>
            <c:strRef>
              <c:f>'Corrected Index (2)'!$D$2:$D$3</c:f>
              <c:strCache>
                <c:ptCount val="2"/>
                <c:pt idx="0">
                  <c:v>INDICES</c:v>
                </c:pt>
                <c:pt idx="1">
                  <c:v>POL  </c:v>
                </c:pt>
              </c:strCache>
            </c:strRef>
          </c:tx>
          <c:marker>
            <c:symbol val="none"/>
          </c:marker>
          <c:cat>
            <c:numRef>
              <c:f>'Corrected Index (2)'!$B$4:$B$81</c:f>
              <c:numCache>
                <c:formatCode>mmm\-yy</c:formatCode>
                <c:ptCount val="77"/>
                <c:pt idx="0">
                  <c:v>43586</c:v>
                </c:pt>
                <c:pt idx="1">
                  <c:v>43617</c:v>
                </c:pt>
                <c:pt idx="2">
                  <c:v>43647</c:v>
                </c:pt>
                <c:pt idx="3">
                  <c:v>43678</c:v>
                </c:pt>
                <c:pt idx="4">
                  <c:v>43709</c:v>
                </c:pt>
                <c:pt idx="5">
                  <c:v>43739</c:v>
                </c:pt>
                <c:pt idx="6">
                  <c:v>43770</c:v>
                </c:pt>
                <c:pt idx="7">
                  <c:v>43800</c:v>
                </c:pt>
                <c:pt idx="8">
                  <c:v>43831</c:v>
                </c:pt>
                <c:pt idx="9">
                  <c:v>43862</c:v>
                </c:pt>
                <c:pt idx="10">
                  <c:v>43891</c:v>
                </c:pt>
                <c:pt idx="11">
                  <c:v>43922</c:v>
                </c:pt>
                <c:pt idx="12">
                  <c:v>43952</c:v>
                </c:pt>
                <c:pt idx="13">
                  <c:v>43983</c:v>
                </c:pt>
                <c:pt idx="14">
                  <c:v>44013</c:v>
                </c:pt>
                <c:pt idx="15">
                  <c:v>44044</c:v>
                </c:pt>
                <c:pt idx="16">
                  <c:v>44075</c:v>
                </c:pt>
                <c:pt idx="17">
                  <c:v>44105</c:v>
                </c:pt>
                <c:pt idx="18">
                  <c:v>44136</c:v>
                </c:pt>
                <c:pt idx="19">
                  <c:v>44166</c:v>
                </c:pt>
                <c:pt idx="20">
                  <c:v>44197</c:v>
                </c:pt>
                <c:pt idx="21">
                  <c:v>44228</c:v>
                </c:pt>
                <c:pt idx="22">
                  <c:v>44256</c:v>
                </c:pt>
                <c:pt idx="23">
                  <c:v>44287</c:v>
                </c:pt>
                <c:pt idx="24">
                  <c:v>44317</c:v>
                </c:pt>
                <c:pt idx="25">
                  <c:v>44348</c:v>
                </c:pt>
                <c:pt idx="26">
                  <c:v>44378</c:v>
                </c:pt>
                <c:pt idx="27">
                  <c:v>44409</c:v>
                </c:pt>
                <c:pt idx="28">
                  <c:v>44440</c:v>
                </c:pt>
                <c:pt idx="29">
                  <c:v>44470</c:v>
                </c:pt>
                <c:pt idx="30">
                  <c:v>44501</c:v>
                </c:pt>
                <c:pt idx="31">
                  <c:v>44531</c:v>
                </c:pt>
                <c:pt idx="32">
                  <c:v>44562</c:v>
                </c:pt>
                <c:pt idx="33">
                  <c:v>44593</c:v>
                </c:pt>
                <c:pt idx="34">
                  <c:v>44621</c:v>
                </c:pt>
                <c:pt idx="35">
                  <c:v>44652</c:v>
                </c:pt>
                <c:pt idx="36">
                  <c:v>44682</c:v>
                </c:pt>
                <c:pt idx="37">
                  <c:v>44713</c:v>
                </c:pt>
                <c:pt idx="38">
                  <c:v>44743</c:v>
                </c:pt>
                <c:pt idx="39">
                  <c:v>44774</c:v>
                </c:pt>
                <c:pt idx="40">
                  <c:v>44805</c:v>
                </c:pt>
                <c:pt idx="41">
                  <c:v>44835</c:v>
                </c:pt>
                <c:pt idx="42">
                  <c:v>44866</c:v>
                </c:pt>
                <c:pt idx="43">
                  <c:v>44896</c:v>
                </c:pt>
                <c:pt idx="44">
                  <c:v>44927</c:v>
                </c:pt>
                <c:pt idx="45">
                  <c:v>44958</c:v>
                </c:pt>
                <c:pt idx="46">
                  <c:v>44986</c:v>
                </c:pt>
                <c:pt idx="47">
                  <c:v>45017</c:v>
                </c:pt>
                <c:pt idx="48">
                  <c:v>45047</c:v>
                </c:pt>
                <c:pt idx="49">
                  <c:v>45078</c:v>
                </c:pt>
                <c:pt idx="50">
                  <c:v>45108</c:v>
                </c:pt>
                <c:pt idx="51">
                  <c:v>45139</c:v>
                </c:pt>
                <c:pt idx="52">
                  <c:v>45170</c:v>
                </c:pt>
                <c:pt idx="53">
                  <c:v>45200</c:v>
                </c:pt>
                <c:pt idx="54">
                  <c:v>45231</c:v>
                </c:pt>
                <c:pt idx="55">
                  <c:v>45261</c:v>
                </c:pt>
                <c:pt idx="56">
                  <c:v>45292</c:v>
                </c:pt>
                <c:pt idx="57">
                  <c:v>45323</c:v>
                </c:pt>
                <c:pt idx="58">
                  <c:v>45352</c:v>
                </c:pt>
                <c:pt idx="59">
                  <c:v>45383</c:v>
                </c:pt>
                <c:pt idx="60">
                  <c:v>45413</c:v>
                </c:pt>
                <c:pt idx="61">
                  <c:v>45444</c:v>
                </c:pt>
                <c:pt idx="62">
                  <c:v>45474</c:v>
                </c:pt>
                <c:pt idx="63">
                  <c:v>45505</c:v>
                </c:pt>
                <c:pt idx="64">
                  <c:v>45536</c:v>
                </c:pt>
                <c:pt idx="65">
                  <c:v>45566</c:v>
                </c:pt>
                <c:pt idx="66">
                  <c:v>45597</c:v>
                </c:pt>
                <c:pt idx="67">
                  <c:v>45627</c:v>
                </c:pt>
                <c:pt idx="68">
                  <c:v>45658</c:v>
                </c:pt>
                <c:pt idx="69">
                  <c:v>45689</c:v>
                </c:pt>
                <c:pt idx="70">
                  <c:v>45717</c:v>
                </c:pt>
                <c:pt idx="71">
                  <c:v>45748</c:v>
                </c:pt>
                <c:pt idx="72">
                  <c:v>45778</c:v>
                </c:pt>
                <c:pt idx="73">
                  <c:v>45809</c:v>
                </c:pt>
                <c:pt idx="74">
                  <c:v>45839</c:v>
                </c:pt>
                <c:pt idx="75">
                  <c:v>45870</c:v>
                </c:pt>
                <c:pt idx="76">
                  <c:v>45901</c:v>
                </c:pt>
              </c:numCache>
            </c:numRef>
          </c:cat>
          <c:val>
            <c:numRef>
              <c:f>'Corrected Index (2)'!$D$4:$D$81</c:f>
              <c:numCache>
                <c:formatCode>0.00</c:formatCode>
                <c:ptCount val="77"/>
                <c:pt idx="0">
                  <c:v>68.52</c:v>
                </c:pt>
                <c:pt idx="1">
                  <c:v>67.155000000000001</c:v>
                </c:pt>
                <c:pt idx="2">
                  <c:v>67.034999999999997</c:v>
                </c:pt>
                <c:pt idx="3">
                  <c:v>67.490000000000009</c:v>
                </c:pt>
                <c:pt idx="4">
                  <c:v>68.185000000000002</c:v>
                </c:pt>
                <c:pt idx="5">
                  <c:v>68.63</c:v>
                </c:pt>
                <c:pt idx="6">
                  <c:v>67.66</c:v>
                </c:pt>
                <c:pt idx="7">
                  <c:v>68.844999999999999</c:v>
                </c:pt>
                <c:pt idx="8">
                  <c:v>69.17</c:v>
                </c:pt>
                <c:pt idx="9">
                  <c:v>67.2</c:v>
                </c:pt>
                <c:pt idx="10">
                  <c:v>65.02</c:v>
                </c:pt>
                <c:pt idx="11">
                  <c:v>64.98</c:v>
                </c:pt>
                <c:pt idx="12">
                  <c:v>64.98</c:v>
                </c:pt>
                <c:pt idx="13">
                  <c:v>72.169999999999987</c:v>
                </c:pt>
                <c:pt idx="14">
                  <c:v>78.134999999999991</c:v>
                </c:pt>
                <c:pt idx="15">
                  <c:v>78.67</c:v>
                </c:pt>
                <c:pt idx="16">
                  <c:v>77.09</c:v>
                </c:pt>
                <c:pt idx="17">
                  <c:v>75.525000000000006</c:v>
                </c:pt>
                <c:pt idx="18">
                  <c:v>76.59</c:v>
                </c:pt>
                <c:pt idx="19">
                  <c:v>78.34</c:v>
                </c:pt>
                <c:pt idx="20">
                  <c:v>80.484999999999999</c:v>
                </c:pt>
                <c:pt idx="21">
                  <c:v>84.474999999999994</c:v>
                </c:pt>
                <c:pt idx="22">
                  <c:v>86.48</c:v>
                </c:pt>
                <c:pt idx="23">
                  <c:v>86.11</c:v>
                </c:pt>
                <c:pt idx="24">
                  <c:v>88.514999999999986</c:v>
                </c:pt>
                <c:pt idx="25">
                  <c:v>92.914999999999992</c:v>
                </c:pt>
                <c:pt idx="26">
                  <c:v>95.334999999999994</c:v>
                </c:pt>
                <c:pt idx="27">
                  <c:v>94.914999999999992</c:v>
                </c:pt>
                <c:pt idx="28">
                  <c:v>95.025000000000006</c:v>
                </c:pt>
                <c:pt idx="29">
                  <c:v>99.974999999999994</c:v>
                </c:pt>
                <c:pt idx="30">
                  <c:v>98.38</c:v>
                </c:pt>
                <c:pt idx="31">
                  <c:v>92.3</c:v>
                </c:pt>
                <c:pt idx="32">
                  <c:v>92.3</c:v>
                </c:pt>
                <c:pt idx="33">
                  <c:v>92.3</c:v>
                </c:pt>
                <c:pt idx="34">
                  <c:v>95.615000000000009</c:v>
                </c:pt>
                <c:pt idx="35">
                  <c:v>100.795</c:v>
                </c:pt>
                <c:pt idx="36">
                  <c:v>99.004999999999995</c:v>
                </c:pt>
                <c:pt idx="37">
                  <c:v>95.35</c:v>
                </c:pt>
                <c:pt idx="38">
                  <c:v>93.85</c:v>
                </c:pt>
                <c:pt idx="39">
                  <c:v>92.35</c:v>
                </c:pt>
                <c:pt idx="40">
                  <c:v>92.35</c:v>
                </c:pt>
                <c:pt idx="41">
                  <c:v>92.35</c:v>
                </c:pt>
                <c:pt idx="42">
                  <c:v>92.35</c:v>
                </c:pt>
                <c:pt idx="43">
                  <c:v>92.35</c:v>
                </c:pt>
                <c:pt idx="44">
                  <c:v>92.35</c:v>
                </c:pt>
                <c:pt idx="45">
                  <c:v>92.35</c:v>
                </c:pt>
                <c:pt idx="46">
                  <c:v>92.35</c:v>
                </c:pt>
                <c:pt idx="47">
                  <c:v>92.35</c:v>
                </c:pt>
                <c:pt idx="48">
                  <c:v>92.35</c:v>
                </c:pt>
                <c:pt idx="49">
                  <c:v>92.35</c:v>
                </c:pt>
                <c:pt idx="50">
                  <c:v>92.35</c:v>
                </c:pt>
                <c:pt idx="51">
                  <c:v>92.35</c:v>
                </c:pt>
                <c:pt idx="52">
                  <c:v>92.35</c:v>
                </c:pt>
                <c:pt idx="53">
                  <c:v>92.35</c:v>
                </c:pt>
                <c:pt idx="54">
                  <c:v>92.35</c:v>
                </c:pt>
                <c:pt idx="55">
                  <c:v>92.35</c:v>
                </c:pt>
                <c:pt idx="56">
                  <c:v>92.35</c:v>
                </c:pt>
                <c:pt idx="57">
                  <c:v>92.35</c:v>
                </c:pt>
                <c:pt idx="58">
                  <c:v>91.314999999999998</c:v>
                </c:pt>
                <c:pt idx="59">
                  <c:v>90.28</c:v>
                </c:pt>
                <c:pt idx="60">
                  <c:v>90.28</c:v>
                </c:pt>
                <c:pt idx="61">
                  <c:v>90.28</c:v>
                </c:pt>
                <c:pt idx="62">
                  <c:v>90.28</c:v>
                </c:pt>
                <c:pt idx="63">
                  <c:v>90.28</c:v>
                </c:pt>
                <c:pt idx="64">
                  <c:v>90.28</c:v>
                </c:pt>
                <c:pt idx="65">
                  <c:v>90.28</c:v>
                </c:pt>
                <c:pt idx="66">
                  <c:v>90.28</c:v>
                </c:pt>
                <c:pt idx="67">
                  <c:v>90.31</c:v>
                </c:pt>
                <c:pt idx="68">
                  <c:v>90.34</c:v>
                </c:pt>
                <c:pt idx="69">
                  <c:v>90.34</c:v>
                </c:pt>
                <c:pt idx="70">
                  <c:v>90.34</c:v>
                </c:pt>
                <c:pt idx="71">
                  <c:v>90.34</c:v>
                </c:pt>
                <c:pt idx="72">
                  <c:v>90.34</c:v>
                </c:pt>
                <c:pt idx="73">
                  <c:v>90.34</c:v>
                </c:pt>
                <c:pt idx="74">
                  <c:v>90.34</c:v>
                </c:pt>
                <c:pt idx="75">
                  <c:v>90.34</c:v>
                </c:pt>
                <c:pt idx="76">
                  <c:v>90.34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B-4619-8FE3-FD9EEFCDF75C}"/>
            </c:ext>
          </c:extLst>
        </c:ser>
        <c:ser>
          <c:idx val="2"/>
          <c:order val="2"/>
          <c:tx>
            <c:strRef>
              <c:f>'Corrected Index (2)'!$E$2:$E$3</c:f>
              <c:strCache>
                <c:ptCount val="2"/>
                <c:pt idx="0">
                  <c:v>INDICES</c:v>
                </c:pt>
                <c:pt idx="1">
                  <c:v>Other Material </c:v>
                </c:pt>
              </c:strCache>
            </c:strRef>
          </c:tx>
          <c:marker>
            <c:symbol val="none"/>
          </c:marker>
          <c:cat>
            <c:numRef>
              <c:f>'Corrected Index (2)'!$B$4:$B$81</c:f>
              <c:numCache>
                <c:formatCode>mmm\-yy</c:formatCode>
                <c:ptCount val="77"/>
                <c:pt idx="0">
                  <c:v>43586</c:v>
                </c:pt>
                <c:pt idx="1">
                  <c:v>43617</c:v>
                </c:pt>
                <c:pt idx="2">
                  <c:v>43647</c:v>
                </c:pt>
                <c:pt idx="3">
                  <c:v>43678</c:v>
                </c:pt>
                <c:pt idx="4">
                  <c:v>43709</c:v>
                </c:pt>
                <c:pt idx="5">
                  <c:v>43739</c:v>
                </c:pt>
                <c:pt idx="6">
                  <c:v>43770</c:v>
                </c:pt>
                <c:pt idx="7">
                  <c:v>43800</c:v>
                </c:pt>
                <c:pt idx="8">
                  <c:v>43831</c:v>
                </c:pt>
                <c:pt idx="9">
                  <c:v>43862</c:v>
                </c:pt>
                <c:pt idx="10">
                  <c:v>43891</c:v>
                </c:pt>
                <c:pt idx="11">
                  <c:v>43922</c:v>
                </c:pt>
                <c:pt idx="12">
                  <c:v>43952</c:v>
                </c:pt>
                <c:pt idx="13">
                  <c:v>43983</c:v>
                </c:pt>
                <c:pt idx="14">
                  <c:v>44013</c:v>
                </c:pt>
                <c:pt idx="15">
                  <c:v>44044</c:v>
                </c:pt>
                <c:pt idx="16">
                  <c:v>44075</c:v>
                </c:pt>
                <c:pt idx="17">
                  <c:v>44105</c:v>
                </c:pt>
                <c:pt idx="18">
                  <c:v>44136</c:v>
                </c:pt>
                <c:pt idx="19">
                  <c:v>44166</c:v>
                </c:pt>
                <c:pt idx="20">
                  <c:v>44197</c:v>
                </c:pt>
                <c:pt idx="21">
                  <c:v>44228</c:v>
                </c:pt>
                <c:pt idx="22">
                  <c:v>44256</c:v>
                </c:pt>
                <c:pt idx="23">
                  <c:v>44287</c:v>
                </c:pt>
                <c:pt idx="24">
                  <c:v>44317</c:v>
                </c:pt>
                <c:pt idx="25">
                  <c:v>44348</c:v>
                </c:pt>
                <c:pt idx="26">
                  <c:v>44378</c:v>
                </c:pt>
                <c:pt idx="27">
                  <c:v>44409</c:v>
                </c:pt>
                <c:pt idx="28">
                  <c:v>44440</c:v>
                </c:pt>
                <c:pt idx="29">
                  <c:v>44470</c:v>
                </c:pt>
                <c:pt idx="30">
                  <c:v>44501</c:v>
                </c:pt>
                <c:pt idx="31">
                  <c:v>44531</c:v>
                </c:pt>
                <c:pt idx="32">
                  <c:v>44562</c:v>
                </c:pt>
                <c:pt idx="33">
                  <c:v>44593</c:v>
                </c:pt>
                <c:pt idx="34">
                  <c:v>44621</c:v>
                </c:pt>
                <c:pt idx="35">
                  <c:v>44652</c:v>
                </c:pt>
                <c:pt idx="36">
                  <c:v>44682</c:v>
                </c:pt>
                <c:pt idx="37">
                  <c:v>44713</c:v>
                </c:pt>
                <c:pt idx="38">
                  <c:v>44743</c:v>
                </c:pt>
                <c:pt idx="39">
                  <c:v>44774</c:v>
                </c:pt>
                <c:pt idx="40">
                  <c:v>44805</c:v>
                </c:pt>
                <c:pt idx="41">
                  <c:v>44835</c:v>
                </c:pt>
                <c:pt idx="42">
                  <c:v>44866</c:v>
                </c:pt>
                <c:pt idx="43">
                  <c:v>44896</c:v>
                </c:pt>
                <c:pt idx="44">
                  <c:v>44927</c:v>
                </c:pt>
                <c:pt idx="45">
                  <c:v>44958</c:v>
                </c:pt>
                <c:pt idx="46">
                  <c:v>44986</c:v>
                </c:pt>
                <c:pt idx="47">
                  <c:v>45017</c:v>
                </c:pt>
                <c:pt idx="48">
                  <c:v>45047</c:v>
                </c:pt>
                <c:pt idx="49">
                  <c:v>45078</c:v>
                </c:pt>
                <c:pt idx="50">
                  <c:v>45108</c:v>
                </c:pt>
                <c:pt idx="51">
                  <c:v>45139</c:v>
                </c:pt>
                <c:pt idx="52">
                  <c:v>45170</c:v>
                </c:pt>
                <c:pt idx="53">
                  <c:v>45200</c:v>
                </c:pt>
                <c:pt idx="54">
                  <c:v>45231</c:v>
                </c:pt>
                <c:pt idx="55">
                  <c:v>45261</c:v>
                </c:pt>
                <c:pt idx="56">
                  <c:v>45292</c:v>
                </c:pt>
                <c:pt idx="57">
                  <c:v>45323</c:v>
                </c:pt>
                <c:pt idx="58">
                  <c:v>45352</c:v>
                </c:pt>
                <c:pt idx="59">
                  <c:v>45383</c:v>
                </c:pt>
                <c:pt idx="60">
                  <c:v>45413</c:v>
                </c:pt>
                <c:pt idx="61">
                  <c:v>45444</c:v>
                </c:pt>
                <c:pt idx="62">
                  <c:v>45474</c:v>
                </c:pt>
                <c:pt idx="63">
                  <c:v>45505</c:v>
                </c:pt>
                <c:pt idx="64">
                  <c:v>45536</c:v>
                </c:pt>
                <c:pt idx="65">
                  <c:v>45566</c:v>
                </c:pt>
                <c:pt idx="66">
                  <c:v>45597</c:v>
                </c:pt>
                <c:pt idx="67">
                  <c:v>45627</c:v>
                </c:pt>
                <c:pt idx="68">
                  <c:v>45658</c:v>
                </c:pt>
                <c:pt idx="69">
                  <c:v>45689</c:v>
                </c:pt>
                <c:pt idx="70">
                  <c:v>45717</c:v>
                </c:pt>
                <c:pt idx="71">
                  <c:v>45748</c:v>
                </c:pt>
                <c:pt idx="72">
                  <c:v>45778</c:v>
                </c:pt>
                <c:pt idx="73">
                  <c:v>45809</c:v>
                </c:pt>
                <c:pt idx="74">
                  <c:v>45839</c:v>
                </c:pt>
                <c:pt idx="75">
                  <c:v>45870</c:v>
                </c:pt>
                <c:pt idx="76">
                  <c:v>45901</c:v>
                </c:pt>
              </c:numCache>
            </c:numRef>
          </c:cat>
          <c:val>
            <c:numRef>
              <c:f>'Corrected Index (2)'!$E$4:$E$81</c:f>
              <c:numCache>
                <c:formatCode>0.00</c:formatCode>
                <c:ptCount val="77"/>
                <c:pt idx="0">
                  <c:v>121.6</c:v>
                </c:pt>
                <c:pt idx="1">
                  <c:v>121.5</c:v>
                </c:pt>
                <c:pt idx="2">
                  <c:v>121.3</c:v>
                </c:pt>
                <c:pt idx="3">
                  <c:v>121.5</c:v>
                </c:pt>
                <c:pt idx="4">
                  <c:v>121.3</c:v>
                </c:pt>
                <c:pt idx="5">
                  <c:v>122</c:v>
                </c:pt>
                <c:pt idx="6">
                  <c:v>122.3</c:v>
                </c:pt>
                <c:pt idx="7">
                  <c:v>122.8</c:v>
                </c:pt>
                <c:pt idx="8">
                  <c:v>123.4</c:v>
                </c:pt>
                <c:pt idx="9">
                  <c:v>122.2</c:v>
                </c:pt>
                <c:pt idx="10">
                  <c:v>120.4</c:v>
                </c:pt>
                <c:pt idx="11">
                  <c:v>119.2</c:v>
                </c:pt>
                <c:pt idx="12">
                  <c:v>117.5</c:v>
                </c:pt>
                <c:pt idx="13">
                  <c:v>119.3</c:v>
                </c:pt>
                <c:pt idx="14">
                  <c:v>121</c:v>
                </c:pt>
                <c:pt idx="15">
                  <c:v>122</c:v>
                </c:pt>
                <c:pt idx="16">
                  <c:v>122.9</c:v>
                </c:pt>
                <c:pt idx="17">
                  <c:v>123.6</c:v>
                </c:pt>
                <c:pt idx="18">
                  <c:v>125.1</c:v>
                </c:pt>
                <c:pt idx="19">
                  <c:v>125.4</c:v>
                </c:pt>
                <c:pt idx="20">
                  <c:v>126.5</c:v>
                </c:pt>
                <c:pt idx="21">
                  <c:v>128.1</c:v>
                </c:pt>
                <c:pt idx="22">
                  <c:v>129.9</c:v>
                </c:pt>
                <c:pt idx="23">
                  <c:v>132</c:v>
                </c:pt>
                <c:pt idx="24">
                  <c:v>132.9</c:v>
                </c:pt>
                <c:pt idx="25">
                  <c:v>133.69999999999999</c:v>
                </c:pt>
                <c:pt idx="26">
                  <c:v>135</c:v>
                </c:pt>
                <c:pt idx="27">
                  <c:v>136.19999999999999</c:v>
                </c:pt>
                <c:pt idx="28">
                  <c:v>137.4</c:v>
                </c:pt>
                <c:pt idx="29">
                  <c:v>140.69999999999999</c:v>
                </c:pt>
                <c:pt idx="30">
                  <c:v>143.69999999999999</c:v>
                </c:pt>
                <c:pt idx="31">
                  <c:v>143.30000000000001</c:v>
                </c:pt>
                <c:pt idx="32">
                  <c:v>143.80000000000001</c:v>
                </c:pt>
                <c:pt idx="33">
                  <c:v>145.30000000000001</c:v>
                </c:pt>
                <c:pt idx="34">
                  <c:v>148.9</c:v>
                </c:pt>
                <c:pt idx="35">
                  <c:v>152.30000000000001</c:v>
                </c:pt>
                <c:pt idx="36">
                  <c:v>155</c:v>
                </c:pt>
                <c:pt idx="37">
                  <c:v>155.4</c:v>
                </c:pt>
                <c:pt idx="38">
                  <c:v>154</c:v>
                </c:pt>
                <c:pt idx="39">
                  <c:v>153.19999999999999</c:v>
                </c:pt>
                <c:pt idx="40">
                  <c:v>151.9</c:v>
                </c:pt>
                <c:pt idx="41">
                  <c:v>152.9</c:v>
                </c:pt>
                <c:pt idx="42">
                  <c:v>152.1</c:v>
                </c:pt>
                <c:pt idx="43">
                  <c:v>150.4</c:v>
                </c:pt>
                <c:pt idx="44">
                  <c:v>150.69999999999999</c:v>
                </c:pt>
                <c:pt idx="45">
                  <c:v>150.9</c:v>
                </c:pt>
                <c:pt idx="46">
                  <c:v>151</c:v>
                </c:pt>
                <c:pt idx="47">
                  <c:v>151.1</c:v>
                </c:pt>
                <c:pt idx="48">
                  <c:v>149.4</c:v>
                </c:pt>
                <c:pt idx="49">
                  <c:v>148.9</c:v>
                </c:pt>
                <c:pt idx="50">
                  <c:v>152.1</c:v>
                </c:pt>
                <c:pt idx="51">
                  <c:v>152.5</c:v>
                </c:pt>
                <c:pt idx="52">
                  <c:v>151.80000000000001</c:v>
                </c:pt>
                <c:pt idx="53">
                  <c:v>152.5</c:v>
                </c:pt>
                <c:pt idx="54">
                  <c:v>153.1</c:v>
                </c:pt>
                <c:pt idx="55">
                  <c:v>151.80000000000001</c:v>
                </c:pt>
                <c:pt idx="56">
                  <c:v>151.19999999999999</c:v>
                </c:pt>
                <c:pt idx="57">
                  <c:v>151.19999999999999</c:v>
                </c:pt>
                <c:pt idx="58">
                  <c:v>151.4</c:v>
                </c:pt>
                <c:pt idx="59">
                  <c:v>152.9</c:v>
                </c:pt>
                <c:pt idx="60">
                  <c:v>153.5</c:v>
                </c:pt>
                <c:pt idx="61">
                  <c:v>154</c:v>
                </c:pt>
                <c:pt idx="62">
                  <c:v>155.30000000000001</c:v>
                </c:pt>
                <c:pt idx="63">
                  <c:v>154.4</c:v>
                </c:pt>
                <c:pt idx="64">
                  <c:v>154.69999999999999</c:v>
                </c:pt>
                <c:pt idx="65">
                  <c:v>156.69999999999999</c:v>
                </c:pt>
                <c:pt idx="66">
                  <c:v>156.4</c:v>
                </c:pt>
                <c:pt idx="67">
                  <c:v>155.69999999999999</c:v>
                </c:pt>
                <c:pt idx="68">
                  <c:v>155</c:v>
                </c:pt>
                <c:pt idx="69">
                  <c:v>154.9</c:v>
                </c:pt>
                <c:pt idx="70">
                  <c:v>154.80000000000001</c:v>
                </c:pt>
                <c:pt idx="71">
                  <c:v>154.19999999999999</c:v>
                </c:pt>
                <c:pt idx="72">
                  <c:v>153.69999999999999</c:v>
                </c:pt>
                <c:pt idx="73">
                  <c:v>153.69999999999999</c:v>
                </c:pt>
                <c:pt idx="74">
                  <c:v>154.4</c:v>
                </c:pt>
                <c:pt idx="75">
                  <c:v>155.19999999999999</c:v>
                </c:pt>
                <c:pt idx="76">
                  <c:v>155.19999999999999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2B-4619-8FE3-FD9EEFCDF75C}"/>
            </c:ext>
          </c:extLst>
        </c:ser>
        <c:ser>
          <c:idx val="3"/>
          <c:order val="3"/>
          <c:tx>
            <c:strRef>
              <c:f>'Corrected Index (2)'!$F$2:$F$3</c:f>
              <c:strCache>
                <c:ptCount val="2"/>
                <c:pt idx="0">
                  <c:v>INDICES</c:v>
                </c:pt>
                <c:pt idx="1">
                  <c:v>TMT </c:v>
                </c:pt>
              </c:strCache>
            </c:strRef>
          </c:tx>
          <c:marker>
            <c:symbol val="none"/>
          </c:marker>
          <c:cat>
            <c:numRef>
              <c:f>'Corrected Index (2)'!$B$4:$B$81</c:f>
              <c:numCache>
                <c:formatCode>mmm\-yy</c:formatCode>
                <c:ptCount val="77"/>
                <c:pt idx="0">
                  <c:v>43586</c:v>
                </c:pt>
                <c:pt idx="1">
                  <c:v>43617</c:v>
                </c:pt>
                <c:pt idx="2">
                  <c:v>43647</c:v>
                </c:pt>
                <c:pt idx="3">
                  <c:v>43678</c:v>
                </c:pt>
                <c:pt idx="4">
                  <c:v>43709</c:v>
                </c:pt>
                <c:pt idx="5">
                  <c:v>43739</c:v>
                </c:pt>
                <c:pt idx="6">
                  <c:v>43770</c:v>
                </c:pt>
                <c:pt idx="7">
                  <c:v>43800</c:v>
                </c:pt>
                <c:pt idx="8">
                  <c:v>43831</c:v>
                </c:pt>
                <c:pt idx="9">
                  <c:v>43862</c:v>
                </c:pt>
                <c:pt idx="10">
                  <c:v>43891</c:v>
                </c:pt>
                <c:pt idx="11">
                  <c:v>43922</c:v>
                </c:pt>
                <c:pt idx="12">
                  <c:v>43952</c:v>
                </c:pt>
                <c:pt idx="13">
                  <c:v>43983</c:v>
                </c:pt>
                <c:pt idx="14">
                  <c:v>44013</c:v>
                </c:pt>
                <c:pt idx="15">
                  <c:v>44044</c:v>
                </c:pt>
                <c:pt idx="16">
                  <c:v>44075</c:v>
                </c:pt>
                <c:pt idx="17">
                  <c:v>44105</c:v>
                </c:pt>
                <c:pt idx="18">
                  <c:v>44136</c:v>
                </c:pt>
                <c:pt idx="19">
                  <c:v>44166</c:v>
                </c:pt>
                <c:pt idx="20">
                  <c:v>44197</c:v>
                </c:pt>
                <c:pt idx="21">
                  <c:v>44228</c:v>
                </c:pt>
                <c:pt idx="22">
                  <c:v>44256</c:v>
                </c:pt>
                <c:pt idx="23">
                  <c:v>44287</c:v>
                </c:pt>
                <c:pt idx="24">
                  <c:v>44317</c:v>
                </c:pt>
                <c:pt idx="25">
                  <c:v>44348</c:v>
                </c:pt>
                <c:pt idx="26">
                  <c:v>44378</c:v>
                </c:pt>
                <c:pt idx="27">
                  <c:v>44409</c:v>
                </c:pt>
                <c:pt idx="28">
                  <c:v>44440</c:v>
                </c:pt>
                <c:pt idx="29">
                  <c:v>44470</c:v>
                </c:pt>
                <c:pt idx="30">
                  <c:v>44501</c:v>
                </c:pt>
                <c:pt idx="31">
                  <c:v>44531</c:v>
                </c:pt>
                <c:pt idx="32">
                  <c:v>44562</c:v>
                </c:pt>
                <c:pt idx="33">
                  <c:v>44593</c:v>
                </c:pt>
                <c:pt idx="34">
                  <c:v>44621</c:v>
                </c:pt>
                <c:pt idx="35">
                  <c:v>44652</c:v>
                </c:pt>
                <c:pt idx="36">
                  <c:v>44682</c:v>
                </c:pt>
                <c:pt idx="37">
                  <c:v>44713</c:v>
                </c:pt>
                <c:pt idx="38">
                  <c:v>44743</c:v>
                </c:pt>
                <c:pt idx="39">
                  <c:v>44774</c:v>
                </c:pt>
                <c:pt idx="40">
                  <c:v>44805</c:v>
                </c:pt>
                <c:pt idx="41">
                  <c:v>44835</c:v>
                </c:pt>
                <c:pt idx="42">
                  <c:v>44866</c:v>
                </c:pt>
                <c:pt idx="43">
                  <c:v>44896</c:v>
                </c:pt>
                <c:pt idx="44">
                  <c:v>44927</c:v>
                </c:pt>
                <c:pt idx="45">
                  <c:v>44958</c:v>
                </c:pt>
                <c:pt idx="46">
                  <c:v>44986</c:v>
                </c:pt>
                <c:pt idx="47">
                  <c:v>45017</c:v>
                </c:pt>
                <c:pt idx="48">
                  <c:v>45047</c:v>
                </c:pt>
                <c:pt idx="49">
                  <c:v>45078</c:v>
                </c:pt>
                <c:pt idx="50">
                  <c:v>45108</c:v>
                </c:pt>
                <c:pt idx="51">
                  <c:v>45139</c:v>
                </c:pt>
                <c:pt idx="52">
                  <c:v>45170</c:v>
                </c:pt>
                <c:pt idx="53">
                  <c:v>45200</c:v>
                </c:pt>
                <c:pt idx="54">
                  <c:v>45231</c:v>
                </c:pt>
                <c:pt idx="55">
                  <c:v>45261</c:v>
                </c:pt>
                <c:pt idx="56">
                  <c:v>45292</c:v>
                </c:pt>
                <c:pt idx="57">
                  <c:v>45323</c:v>
                </c:pt>
                <c:pt idx="58">
                  <c:v>45352</c:v>
                </c:pt>
                <c:pt idx="59">
                  <c:v>45383</c:v>
                </c:pt>
                <c:pt idx="60">
                  <c:v>45413</c:v>
                </c:pt>
                <c:pt idx="61">
                  <c:v>45444</c:v>
                </c:pt>
                <c:pt idx="62">
                  <c:v>45474</c:v>
                </c:pt>
                <c:pt idx="63">
                  <c:v>45505</c:v>
                </c:pt>
                <c:pt idx="64">
                  <c:v>45536</c:v>
                </c:pt>
                <c:pt idx="65">
                  <c:v>45566</c:v>
                </c:pt>
                <c:pt idx="66">
                  <c:v>45597</c:v>
                </c:pt>
                <c:pt idx="67">
                  <c:v>45627</c:v>
                </c:pt>
                <c:pt idx="68">
                  <c:v>45658</c:v>
                </c:pt>
                <c:pt idx="69">
                  <c:v>45689</c:v>
                </c:pt>
                <c:pt idx="70">
                  <c:v>45717</c:v>
                </c:pt>
                <c:pt idx="71">
                  <c:v>45748</c:v>
                </c:pt>
                <c:pt idx="72">
                  <c:v>45778</c:v>
                </c:pt>
                <c:pt idx="73">
                  <c:v>45809</c:v>
                </c:pt>
                <c:pt idx="74">
                  <c:v>45839</c:v>
                </c:pt>
                <c:pt idx="75">
                  <c:v>45870</c:v>
                </c:pt>
                <c:pt idx="76">
                  <c:v>45901</c:v>
                </c:pt>
              </c:numCache>
            </c:numRef>
          </c:cat>
          <c:val>
            <c:numRef>
              <c:f>'Corrected Index (2)'!$F$4:$F$81</c:f>
              <c:numCache>
                <c:formatCode>0.00</c:formatCode>
                <c:ptCount val="77"/>
                <c:pt idx="0">
                  <c:v>109.4</c:v>
                </c:pt>
                <c:pt idx="1">
                  <c:v>108.4</c:v>
                </c:pt>
                <c:pt idx="2">
                  <c:v>106.1</c:v>
                </c:pt>
                <c:pt idx="3">
                  <c:v>104.2</c:v>
                </c:pt>
                <c:pt idx="4">
                  <c:v>103.4</c:v>
                </c:pt>
                <c:pt idx="5">
                  <c:v>102.6</c:v>
                </c:pt>
                <c:pt idx="6">
                  <c:v>101.9</c:v>
                </c:pt>
                <c:pt idx="7">
                  <c:v>103.1</c:v>
                </c:pt>
                <c:pt idx="8">
                  <c:v>104.9</c:v>
                </c:pt>
                <c:pt idx="9">
                  <c:v>105.6</c:v>
                </c:pt>
                <c:pt idx="10">
                  <c:v>106.6</c:v>
                </c:pt>
                <c:pt idx="11">
                  <c:v>106.2</c:v>
                </c:pt>
                <c:pt idx="12">
                  <c:v>105.6</c:v>
                </c:pt>
                <c:pt idx="13">
                  <c:v>104.8</c:v>
                </c:pt>
                <c:pt idx="14">
                  <c:v>102.8</c:v>
                </c:pt>
                <c:pt idx="15">
                  <c:v>104.5</c:v>
                </c:pt>
                <c:pt idx="16">
                  <c:v>106.3</c:v>
                </c:pt>
                <c:pt idx="17">
                  <c:v>108</c:v>
                </c:pt>
                <c:pt idx="18">
                  <c:v>112.8</c:v>
                </c:pt>
                <c:pt idx="19">
                  <c:v>118.2</c:v>
                </c:pt>
                <c:pt idx="20">
                  <c:v>125.6</c:v>
                </c:pt>
                <c:pt idx="21">
                  <c:v>124.7</c:v>
                </c:pt>
                <c:pt idx="22">
                  <c:v>124.6</c:v>
                </c:pt>
                <c:pt idx="23">
                  <c:v>127.6</c:v>
                </c:pt>
                <c:pt idx="24">
                  <c:v>130.9</c:v>
                </c:pt>
                <c:pt idx="25">
                  <c:v>131.69999999999999</c:v>
                </c:pt>
                <c:pt idx="26">
                  <c:v>131.4</c:v>
                </c:pt>
                <c:pt idx="27">
                  <c:v>132.9</c:v>
                </c:pt>
                <c:pt idx="28">
                  <c:v>133.6</c:v>
                </c:pt>
                <c:pt idx="29">
                  <c:v>140.80000000000001</c:v>
                </c:pt>
                <c:pt idx="30">
                  <c:v>140.4</c:v>
                </c:pt>
                <c:pt idx="31">
                  <c:v>139</c:v>
                </c:pt>
                <c:pt idx="32">
                  <c:v>139.9</c:v>
                </c:pt>
                <c:pt idx="33">
                  <c:v>144.80000000000001</c:v>
                </c:pt>
                <c:pt idx="34">
                  <c:v>155.9</c:v>
                </c:pt>
                <c:pt idx="35">
                  <c:v>159.1</c:v>
                </c:pt>
                <c:pt idx="36">
                  <c:v>156.69999999999999</c:v>
                </c:pt>
                <c:pt idx="37">
                  <c:v>151.6</c:v>
                </c:pt>
                <c:pt idx="38">
                  <c:v>149.9</c:v>
                </c:pt>
                <c:pt idx="39">
                  <c:v>149.4</c:v>
                </c:pt>
                <c:pt idx="40">
                  <c:v>146.80000000000001</c:v>
                </c:pt>
                <c:pt idx="41">
                  <c:v>147.9</c:v>
                </c:pt>
                <c:pt idx="42">
                  <c:v>145</c:v>
                </c:pt>
                <c:pt idx="43">
                  <c:v>145.69999999999999</c:v>
                </c:pt>
                <c:pt idx="44">
                  <c:v>148.30000000000001</c:v>
                </c:pt>
                <c:pt idx="45">
                  <c:v>148.4</c:v>
                </c:pt>
                <c:pt idx="46">
                  <c:v>147.6</c:v>
                </c:pt>
                <c:pt idx="47">
                  <c:v>145.69999999999999</c:v>
                </c:pt>
                <c:pt idx="48">
                  <c:v>144.4</c:v>
                </c:pt>
                <c:pt idx="49">
                  <c:v>141.69999999999999</c:v>
                </c:pt>
                <c:pt idx="50">
                  <c:v>139.5</c:v>
                </c:pt>
                <c:pt idx="51">
                  <c:v>140.80000000000001</c:v>
                </c:pt>
                <c:pt idx="52">
                  <c:v>143.80000000000001</c:v>
                </c:pt>
                <c:pt idx="53">
                  <c:v>143.1</c:v>
                </c:pt>
                <c:pt idx="54">
                  <c:v>143.19999999999999</c:v>
                </c:pt>
                <c:pt idx="55">
                  <c:v>139.69999999999999</c:v>
                </c:pt>
                <c:pt idx="56">
                  <c:v>138.30000000000001</c:v>
                </c:pt>
                <c:pt idx="57">
                  <c:v>138.30000000000001</c:v>
                </c:pt>
                <c:pt idx="58">
                  <c:v>138.9</c:v>
                </c:pt>
                <c:pt idx="59">
                  <c:v>142.30000000000001</c:v>
                </c:pt>
                <c:pt idx="60">
                  <c:v>144.5</c:v>
                </c:pt>
                <c:pt idx="61">
                  <c:v>143.6</c:v>
                </c:pt>
                <c:pt idx="62">
                  <c:v>139.69999999999999</c:v>
                </c:pt>
                <c:pt idx="63">
                  <c:v>138.6</c:v>
                </c:pt>
                <c:pt idx="64">
                  <c:v>138.9</c:v>
                </c:pt>
                <c:pt idx="65">
                  <c:v>140</c:v>
                </c:pt>
                <c:pt idx="66">
                  <c:v>140.19999999999999</c:v>
                </c:pt>
                <c:pt idx="67">
                  <c:v>139.5</c:v>
                </c:pt>
                <c:pt idx="68">
                  <c:v>138.5</c:v>
                </c:pt>
                <c:pt idx="69">
                  <c:v>138.69999999999999</c:v>
                </c:pt>
                <c:pt idx="70">
                  <c:v>140</c:v>
                </c:pt>
                <c:pt idx="71">
                  <c:v>140.80000000000001</c:v>
                </c:pt>
                <c:pt idx="72">
                  <c:v>138.69999999999999</c:v>
                </c:pt>
                <c:pt idx="73">
                  <c:v>137.19999999999999</c:v>
                </c:pt>
                <c:pt idx="74">
                  <c:v>135.4</c:v>
                </c:pt>
                <c:pt idx="75">
                  <c:v>135.80000000000001</c:v>
                </c:pt>
                <c:pt idx="76">
                  <c:v>135.80000000000001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2B-4619-8FE3-FD9EEFCDF75C}"/>
            </c:ext>
          </c:extLst>
        </c:ser>
        <c:ser>
          <c:idx val="4"/>
          <c:order val="4"/>
          <c:tx>
            <c:strRef>
              <c:f>'Corrected Index (2)'!$G$2:$G$3</c:f>
              <c:strCache>
                <c:ptCount val="2"/>
                <c:pt idx="0">
                  <c:v>INDICES</c:v>
                </c:pt>
                <c:pt idx="1">
                  <c:v>CEMENT </c:v>
                </c:pt>
              </c:strCache>
            </c:strRef>
          </c:tx>
          <c:marker>
            <c:symbol val="none"/>
          </c:marker>
          <c:cat>
            <c:numRef>
              <c:f>'Corrected Index (2)'!$B$4:$B$81</c:f>
              <c:numCache>
                <c:formatCode>mmm\-yy</c:formatCode>
                <c:ptCount val="77"/>
                <c:pt idx="0">
                  <c:v>43586</c:v>
                </c:pt>
                <c:pt idx="1">
                  <c:v>43617</c:v>
                </c:pt>
                <c:pt idx="2">
                  <c:v>43647</c:v>
                </c:pt>
                <c:pt idx="3">
                  <c:v>43678</c:v>
                </c:pt>
                <c:pt idx="4">
                  <c:v>43709</c:v>
                </c:pt>
                <c:pt idx="5">
                  <c:v>43739</c:v>
                </c:pt>
                <c:pt idx="6">
                  <c:v>43770</c:v>
                </c:pt>
                <c:pt idx="7">
                  <c:v>43800</c:v>
                </c:pt>
                <c:pt idx="8">
                  <c:v>43831</c:v>
                </c:pt>
                <c:pt idx="9">
                  <c:v>43862</c:v>
                </c:pt>
                <c:pt idx="10">
                  <c:v>43891</c:v>
                </c:pt>
                <c:pt idx="11">
                  <c:v>43922</c:v>
                </c:pt>
                <c:pt idx="12">
                  <c:v>43952</c:v>
                </c:pt>
                <c:pt idx="13">
                  <c:v>43983</c:v>
                </c:pt>
                <c:pt idx="14">
                  <c:v>44013</c:v>
                </c:pt>
                <c:pt idx="15">
                  <c:v>44044</c:v>
                </c:pt>
                <c:pt idx="16">
                  <c:v>44075</c:v>
                </c:pt>
                <c:pt idx="17">
                  <c:v>44105</c:v>
                </c:pt>
                <c:pt idx="18">
                  <c:v>44136</c:v>
                </c:pt>
                <c:pt idx="19">
                  <c:v>44166</c:v>
                </c:pt>
                <c:pt idx="20">
                  <c:v>44197</c:v>
                </c:pt>
                <c:pt idx="21">
                  <c:v>44228</c:v>
                </c:pt>
                <c:pt idx="22">
                  <c:v>44256</c:v>
                </c:pt>
                <c:pt idx="23">
                  <c:v>44287</c:v>
                </c:pt>
                <c:pt idx="24">
                  <c:v>44317</c:v>
                </c:pt>
                <c:pt idx="25">
                  <c:v>44348</c:v>
                </c:pt>
                <c:pt idx="26">
                  <c:v>44378</c:v>
                </c:pt>
                <c:pt idx="27">
                  <c:v>44409</c:v>
                </c:pt>
                <c:pt idx="28">
                  <c:v>44440</c:v>
                </c:pt>
                <c:pt idx="29">
                  <c:v>44470</c:v>
                </c:pt>
                <c:pt idx="30">
                  <c:v>44501</c:v>
                </c:pt>
                <c:pt idx="31">
                  <c:v>44531</c:v>
                </c:pt>
                <c:pt idx="32">
                  <c:v>44562</c:v>
                </c:pt>
                <c:pt idx="33">
                  <c:v>44593</c:v>
                </c:pt>
                <c:pt idx="34">
                  <c:v>44621</c:v>
                </c:pt>
                <c:pt idx="35">
                  <c:v>44652</c:v>
                </c:pt>
                <c:pt idx="36">
                  <c:v>44682</c:v>
                </c:pt>
                <c:pt idx="37">
                  <c:v>44713</c:v>
                </c:pt>
                <c:pt idx="38">
                  <c:v>44743</c:v>
                </c:pt>
                <c:pt idx="39">
                  <c:v>44774</c:v>
                </c:pt>
                <c:pt idx="40">
                  <c:v>44805</c:v>
                </c:pt>
                <c:pt idx="41">
                  <c:v>44835</c:v>
                </c:pt>
                <c:pt idx="42">
                  <c:v>44866</c:v>
                </c:pt>
                <c:pt idx="43">
                  <c:v>44896</c:v>
                </c:pt>
                <c:pt idx="44">
                  <c:v>44927</c:v>
                </c:pt>
                <c:pt idx="45">
                  <c:v>44958</c:v>
                </c:pt>
                <c:pt idx="46">
                  <c:v>44986</c:v>
                </c:pt>
                <c:pt idx="47">
                  <c:v>45017</c:v>
                </c:pt>
                <c:pt idx="48">
                  <c:v>45047</c:v>
                </c:pt>
                <c:pt idx="49">
                  <c:v>45078</c:v>
                </c:pt>
                <c:pt idx="50">
                  <c:v>45108</c:v>
                </c:pt>
                <c:pt idx="51">
                  <c:v>45139</c:v>
                </c:pt>
                <c:pt idx="52">
                  <c:v>45170</c:v>
                </c:pt>
                <c:pt idx="53">
                  <c:v>45200</c:v>
                </c:pt>
                <c:pt idx="54">
                  <c:v>45231</c:v>
                </c:pt>
                <c:pt idx="55">
                  <c:v>45261</c:v>
                </c:pt>
                <c:pt idx="56">
                  <c:v>45292</c:v>
                </c:pt>
                <c:pt idx="57">
                  <c:v>45323</c:v>
                </c:pt>
                <c:pt idx="58">
                  <c:v>45352</c:v>
                </c:pt>
                <c:pt idx="59">
                  <c:v>45383</c:v>
                </c:pt>
                <c:pt idx="60">
                  <c:v>45413</c:v>
                </c:pt>
                <c:pt idx="61">
                  <c:v>45444</c:v>
                </c:pt>
                <c:pt idx="62">
                  <c:v>45474</c:v>
                </c:pt>
                <c:pt idx="63">
                  <c:v>45505</c:v>
                </c:pt>
                <c:pt idx="64">
                  <c:v>45536</c:v>
                </c:pt>
                <c:pt idx="65">
                  <c:v>45566</c:v>
                </c:pt>
                <c:pt idx="66">
                  <c:v>45597</c:v>
                </c:pt>
                <c:pt idx="67">
                  <c:v>45627</c:v>
                </c:pt>
                <c:pt idx="68">
                  <c:v>45658</c:v>
                </c:pt>
                <c:pt idx="69">
                  <c:v>45689</c:v>
                </c:pt>
                <c:pt idx="70">
                  <c:v>45717</c:v>
                </c:pt>
                <c:pt idx="71">
                  <c:v>45748</c:v>
                </c:pt>
                <c:pt idx="72">
                  <c:v>45778</c:v>
                </c:pt>
                <c:pt idx="73">
                  <c:v>45809</c:v>
                </c:pt>
                <c:pt idx="74">
                  <c:v>45839</c:v>
                </c:pt>
                <c:pt idx="75">
                  <c:v>45870</c:v>
                </c:pt>
                <c:pt idx="76">
                  <c:v>45901</c:v>
                </c:pt>
              </c:numCache>
            </c:numRef>
          </c:cat>
          <c:val>
            <c:numRef>
              <c:f>'Corrected Index (2)'!$G$4:$G$81</c:f>
              <c:numCache>
                <c:formatCode>0.00</c:formatCode>
                <c:ptCount val="77"/>
                <c:pt idx="0">
                  <c:v>123.2</c:v>
                </c:pt>
                <c:pt idx="1">
                  <c:v>122.5</c:v>
                </c:pt>
                <c:pt idx="2">
                  <c:v>120.6</c:v>
                </c:pt>
                <c:pt idx="3">
                  <c:v>118.5</c:v>
                </c:pt>
                <c:pt idx="4">
                  <c:v>120.7</c:v>
                </c:pt>
                <c:pt idx="5">
                  <c:v>118.6</c:v>
                </c:pt>
                <c:pt idx="6">
                  <c:v>119.6</c:v>
                </c:pt>
                <c:pt idx="7">
                  <c:v>119.2</c:v>
                </c:pt>
                <c:pt idx="8">
                  <c:v>118</c:v>
                </c:pt>
                <c:pt idx="9">
                  <c:v>119.8</c:v>
                </c:pt>
                <c:pt idx="10">
                  <c:v>119.7</c:v>
                </c:pt>
                <c:pt idx="11">
                  <c:v>123.3</c:v>
                </c:pt>
                <c:pt idx="12">
                  <c:v>124.6</c:v>
                </c:pt>
                <c:pt idx="13">
                  <c:v>123.2</c:v>
                </c:pt>
                <c:pt idx="14">
                  <c:v>121.5</c:v>
                </c:pt>
                <c:pt idx="15">
                  <c:v>119.7</c:v>
                </c:pt>
                <c:pt idx="16">
                  <c:v>118.3</c:v>
                </c:pt>
                <c:pt idx="17">
                  <c:v>117.8</c:v>
                </c:pt>
                <c:pt idx="18">
                  <c:v>118.7</c:v>
                </c:pt>
                <c:pt idx="19">
                  <c:v>118.1</c:v>
                </c:pt>
                <c:pt idx="20">
                  <c:v>118.5</c:v>
                </c:pt>
                <c:pt idx="21">
                  <c:v>120.6</c:v>
                </c:pt>
                <c:pt idx="22">
                  <c:v>125</c:v>
                </c:pt>
                <c:pt idx="23">
                  <c:v>125.7</c:v>
                </c:pt>
                <c:pt idx="24">
                  <c:v>123.6</c:v>
                </c:pt>
                <c:pt idx="25">
                  <c:v>123.6</c:v>
                </c:pt>
                <c:pt idx="26">
                  <c:v>124.7</c:v>
                </c:pt>
                <c:pt idx="27">
                  <c:v>123.3</c:v>
                </c:pt>
                <c:pt idx="28">
                  <c:v>122.6</c:v>
                </c:pt>
                <c:pt idx="29">
                  <c:v>125.3</c:v>
                </c:pt>
                <c:pt idx="30">
                  <c:v>127.7</c:v>
                </c:pt>
                <c:pt idx="31">
                  <c:v>125.5</c:v>
                </c:pt>
                <c:pt idx="32">
                  <c:v>124.3</c:v>
                </c:pt>
                <c:pt idx="33">
                  <c:v>127.9</c:v>
                </c:pt>
                <c:pt idx="34">
                  <c:v>130.1</c:v>
                </c:pt>
                <c:pt idx="35">
                  <c:v>133.5</c:v>
                </c:pt>
                <c:pt idx="36">
                  <c:v>135.1</c:v>
                </c:pt>
                <c:pt idx="37">
                  <c:v>138</c:v>
                </c:pt>
                <c:pt idx="38">
                  <c:v>135</c:v>
                </c:pt>
                <c:pt idx="39">
                  <c:v>133.80000000000001</c:v>
                </c:pt>
                <c:pt idx="40">
                  <c:v>133.4</c:v>
                </c:pt>
                <c:pt idx="41">
                  <c:v>133.5</c:v>
                </c:pt>
                <c:pt idx="42">
                  <c:v>134.5</c:v>
                </c:pt>
                <c:pt idx="43">
                  <c:v>135</c:v>
                </c:pt>
                <c:pt idx="44">
                  <c:v>136.6</c:v>
                </c:pt>
                <c:pt idx="45">
                  <c:v>136.5</c:v>
                </c:pt>
                <c:pt idx="46">
                  <c:v>136.80000000000001</c:v>
                </c:pt>
                <c:pt idx="47">
                  <c:v>136</c:v>
                </c:pt>
                <c:pt idx="48">
                  <c:v>134.69999999999999</c:v>
                </c:pt>
                <c:pt idx="49">
                  <c:v>135</c:v>
                </c:pt>
                <c:pt idx="50">
                  <c:v>135.6</c:v>
                </c:pt>
                <c:pt idx="51">
                  <c:v>136.19999999999999</c:v>
                </c:pt>
                <c:pt idx="52">
                  <c:v>134.9</c:v>
                </c:pt>
                <c:pt idx="53">
                  <c:v>136.69999999999999</c:v>
                </c:pt>
                <c:pt idx="54">
                  <c:v>135.30000000000001</c:v>
                </c:pt>
                <c:pt idx="55">
                  <c:v>135.9</c:v>
                </c:pt>
                <c:pt idx="56">
                  <c:v>135.5</c:v>
                </c:pt>
                <c:pt idx="57">
                  <c:v>134.1</c:v>
                </c:pt>
                <c:pt idx="58">
                  <c:v>132</c:v>
                </c:pt>
                <c:pt idx="59">
                  <c:v>131.1</c:v>
                </c:pt>
                <c:pt idx="60">
                  <c:v>129.30000000000001</c:v>
                </c:pt>
                <c:pt idx="61">
                  <c:v>126.8</c:v>
                </c:pt>
                <c:pt idx="62">
                  <c:v>124</c:v>
                </c:pt>
                <c:pt idx="63">
                  <c:v>122.6</c:v>
                </c:pt>
                <c:pt idx="64">
                  <c:v>125</c:v>
                </c:pt>
                <c:pt idx="65">
                  <c:v>124.6</c:v>
                </c:pt>
                <c:pt idx="66">
                  <c:v>125.3</c:v>
                </c:pt>
                <c:pt idx="67">
                  <c:v>127.9</c:v>
                </c:pt>
                <c:pt idx="68">
                  <c:v>128.19999999999999</c:v>
                </c:pt>
                <c:pt idx="69">
                  <c:v>128.9</c:v>
                </c:pt>
                <c:pt idx="70">
                  <c:v>129.30000000000001</c:v>
                </c:pt>
                <c:pt idx="71">
                  <c:v>127.6</c:v>
                </c:pt>
                <c:pt idx="72">
                  <c:v>131</c:v>
                </c:pt>
                <c:pt idx="73">
                  <c:v>131.30000000000001</c:v>
                </c:pt>
                <c:pt idx="74">
                  <c:v>131.4</c:v>
                </c:pt>
                <c:pt idx="75">
                  <c:v>131</c:v>
                </c:pt>
                <c:pt idx="76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2B-4619-8FE3-FD9EEFCDF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718720"/>
        <c:axId val="124332864"/>
      </c:lineChart>
      <c:dateAx>
        <c:axId val="1227187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4332864"/>
        <c:crosses val="autoZero"/>
        <c:auto val="1"/>
        <c:lblOffset val="100"/>
        <c:baseTimeUnit val="months"/>
      </c:dateAx>
      <c:valAx>
        <c:axId val="12433286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227187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11</xdr:row>
      <xdr:rowOff>819150</xdr:rowOff>
    </xdr:from>
    <xdr:to>
      <xdr:col>11</xdr:col>
      <xdr:colOff>866775</xdr:colOff>
      <xdr:row>11</xdr:row>
      <xdr:rowOff>819150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9753600" y="3676650"/>
          <a:ext cx="7905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190499</xdr:colOff>
      <xdr:row>7</xdr:row>
      <xdr:rowOff>819977</xdr:rowOff>
    </xdr:from>
    <xdr:to>
      <xdr:col>11</xdr:col>
      <xdr:colOff>893278</xdr:colOff>
      <xdr:row>7</xdr:row>
      <xdr:rowOff>819978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9939129" y="2965173"/>
          <a:ext cx="702779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11</xdr:col>
      <xdr:colOff>571500</xdr:colOff>
      <xdr:row>14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238124</xdr:colOff>
      <xdr:row>15</xdr:row>
      <xdr:rowOff>85725</xdr:rowOff>
    </xdr:from>
    <xdr:to>
      <xdr:col>11</xdr:col>
      <xdr:colOff>571499</xdr:colOff>
      <xdr:row>29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228599</xdr:colOff>
      <xdr:row>31</xdr:row>
      <xdr:rowOff>38099</xdr:rowOff>
    </xdr:from>
    <xdr:to>
      <xdr:col>11</xdr:col>
      <xdr:colOff>571500</xdr:colOff>
      <xdr:row>46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48</xdr:row>
      <xdr:rowOff>95249</xdr:rowOff>
    </xdr:from>
    <xdr:to>
      <xdr:col>11</xdr:col>
      <xdr:colOff>552450</xdr:colOff>
      <xdr:row>65</xdr:row>
      <xdr:rowOff>76199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209550</xdr:colOff>
      <xdr:row>67</xdr:row>
      <xdr:rowOff>19050</xdr:rowOff>
    </xdr:from>
    <xdr:to>
      <xdr:col>11</xdr:col>
      <xdr:colOff>552450</xdr:colOff>
      <xdr:row>83</xdr:row>
      <xdr:rowOff>19050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200025</xdr:colOff>
      <xdr:row>85</xdr:row>
      <xdr:rowOff>9524</xdr:rowOff>
    </xdr:from>
    <xdr:to>
      <xdr:col>11</xdr:col>
      <xdr:colOff>561975</xdr:colOff>
      <xdr:row>105</xdr:row>
      <xdr:rowOff>152399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asanna\MICO\MICO_080220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ica\test\My%20Documents\MOTOROL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ant\projects\PROJECTS\Projects%20A%20-%20G\DMRC%20Headquarters\DMRC%20TENDER%20DOCU%20SAMPLE\RATE%20ANALYSIS%20HYDRAULIC%2017-03-20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OD\data%20(d)\Users\Neeraj\AppData\Local\Microsoft\Windows\Temporary%20Internet%20Files\Content.Outlook\17D8B9V0\My%20Documents\Price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OD\data%20(d)\Documents%20and%20Settings\SP-1\Desktop\hll%20ah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s_india\c\DLSI\CostplanInfo\Template-Design%20Devt%20Estimat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jay\d\Documents%20and%20Settings\Srinivasa%20Ramanujam\Local%20Settings\Temporary%20Internet%20Files\OLK38\Elnet-IBMS-IOlistBOQ-51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Administrator\My%20Documents\PriceCalc%2017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ANDARD%20DOCUMENTS\poly%20cab-%20Rating%20&amp;%20volt.drop%20dt.18.1.0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ANDARD%20DOCUMENTS\cable%20Vdrop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ica\test\PRICE\SAMPL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ica\test\PRICE\HYAT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H523E~1\AppData\Local\Temp\Rar$DI11.4628\16_FINAL%20REVISED%20FTC_WITH%20REVISD%20STRU%20&amp;%20QTY_24.03.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basic"/>
      <sheetName val="GN-ST-10"/>
      <sheetName val="PRECAST lightconc_II"/>
      <sheetName val="Friends"/>
      <sheetName val="College Details"/>
      <sheetName val="Personal "/>
      <sheetName val="Office"/>
      <sheetName val="CF-det"/>
      <sheetName val="Cleaning &amp; Grubbing"/>
      <sheetName val="GN_ST_10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八幡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300x500"/>
      <sheetName val="PRECAST_lightconc-II"/>
      <sheetName val="PRECAST_lightconc_II"/>
      <sheetName val="College_Details"/>
      <sheetName val="Personal_"/>
      <sheetName val="Cleaning_&amp;_Grubbing"/>
      <sheetName val="jidal_dam"/>
      <sheetName val="fran_temp"/>
      <sheetName val="kona_swit"/>
      <sheetName val="template_(8)"/>
      <sheetName val="template_(9)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#REF!"/>
      <sheetName val="Expenditure plan"/>
      <sheetName val="ORDER BOOKING"/>
      <sheetName val="concrete"/>
      <sheetName val="beam-reinft-IIInd floor"/>
      <sheetName val="upa"/>
      <sheetName val="zone-8"/>
      <sheetName val="MHNO_LEV"/>
      <sheetName val="M-Book for Conc"/>
      <sheetName val="M-Book for FW"/>
      <sheetName val="List"/>
      <sheetName val="Boq Block A"/>
      <sheetName val="A"/>
      <sheetName val="Site Dev BOQ"/>
      <sheetName val="labour coeff"/>
      <sheetName val="Sheet3"/>
      <sheetName val="SITE OVERHEADS"/>
      <sheetName val="VCH-SLC"/>
      <sheetName val="Supplier"/>
      <sheetName val="Design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SILICATE"/>
      <sheetName val="Costing Upto Mar'11 (2)"/>
      <sheetName val="Tender Summary"/>
      <sheetName val="p&amp;m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Meas.-Hotel Part"/>
      <sheetName val="dBase"/>
      <sheetName val="Contract Night Staff"/>
      <sheetName val="Contract Day Staff"/>
      <sheetName val="Day Shift"/>
      <sheetName val="Night Shift"/>
      <sheetName val="scurve calc (2)"/>
      <sheetName val="Direct cost shed A-2 "/>
      <sheetName val="Headings"/>
      <sheetName val="factors"/>
      <sheetName val=" 09.07.10 M顅ᎆ뤀ᨇ԰"/>
      <sheetName val="22.12.2011"/>
      <sheetName val="Fee Rate Summary"/>
      <sheetName val="Civil Boq"/>
      <sheetName val="BOQ_Direct_selling cost"/>
      <sheetName val="BOQ (2)"/>
      <sheetName val="Data"/>
      <sheetName val="Lead"/>
      <sheetName val="Build-up"/>
      <sheetName val="2gii"/>
      <sheetName val="final abstract"/>
      <sheetName val="Sheet2"/>
      <sheetName val="beam-reinft"/>
      <sheetName val="Detail"/>
      <sheetName val="Meas__Hotel Part"/>
      <sheetName val="INPUT SHEET"/>
      <sheetName val="BS8007"/>
      <sheetName val="Ave.wtd.rates"/>
      <sheetName val="Material "/>
      <sheetName val="Labour &amp; Plant"/>
      <sheetName val="St.co.91.5lvl"/>
      <sheetName val="Cashflow projection"/>
      <sheetName val="Item- Compact"/>
      <sheetName val="PA- Consutant "/>
      <sheetName val="master"/>
      <sheetName val="Civil Works"/>
      <sheetName val="inWords"/>
      <sheetName val="IO List"/>
      <sheetName val="DataInput"/>
      <sheetName val="DataInput-1"/>
      <sheetName val="DI Rate Analysis"/>
      <sheetName val="Economic RisingMain  Ph-I"/>
      <sheetName val="Fill this out first..."/>
      <sheetName val="TBAL9697 _group wise  sdpl"/>
      <sheetName val="Intake"/>
      <sheetName val="SP Break Up"/>
      <sheetName val="Sales &amp; Prod"/>
      <sheetName val="temp"/>
      <sheetName val="GBW"/>
      <sheetName val="HEAD"/>
      <sheetName val="Labour productivity"/>
      <sheetName val="HVAC"/>
      <sheetName val=" 09.07.10 M顅ᎆ뤀ᨇ԰?缀?"/>
      <sheetName val=" 09.07.10 M顅ᎆ뤀ᨇ԰_缀_"/>
      <sheetName val="공장별판관비배부"/>
      <sheetName val="cash in flow Summary JV "/>
      <sheetName val="water prop."/>
      <sheetName val="GR.slab-reinft"/>
      <sheetName val="Cost Index"/>
      <sheetName val="MN T.B."/>
      <sheetName val="INDIGINEOUS ITEMS "/>
      <sheetName val="Staff Acco.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Assumptions"/>
      <sheetName val="RA-markate"/>
      <sheetName val="col-reinft1"/>
      <sheetName val=" 09.07.10 M顅ᎆ뤀ᨇ԰_x0000_缀_x0000_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J20">
            <v>0.15082999999999999</v>
          </cell>
          <cell r="K20">
            <v>0.10083</v>
          </cell>
        </row>
      </sheetData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iculars"/>
      <sheetName val="Summary"/>
      <sheetName val="Yearwise Brk up - NPV"/>
      <sheetName val="Cashflow"/>
      <sheetName val="Labour"/>
      <sheetName val="Cisco"/>
      <sheetName val="IBM T&amp;L"/>
      <sheetName val="OEM HW-SW-SVS"/>
      <sheetName val="CostDetail Report"/>
      <sheetName val="BlankSheet 2"/>
      <sheetName val="Guide"/>
      <sheetName val="Labels"/>
      <sheetName val="Data"/>
      <sheetName val="Yearwise_Brk_up_-_NPV"/>
      <sheetName val="IBM_T&amp;L"/>
      <sheetName val="OEM_HW-SW-SVS"/>
      <sheetName val="CostDetail_Report"/>
      <sheetName val="BlankSheet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3">
          <cell r="E3" t="str">
            <v>Band 3</v>
          </cell>
        </row>
        <row r="4">
          <cell r="E4" t="str">
            <v>Band 4</v>
          </cell>
        </row>
        <row r="5">
          <cell r="E5" t="str">
            <v>Band 5</v>
          </cell>
        </row>
        <row r="6">
          <cell r="E6" t="str">
            <v>Band 6</v>
          </cell>
        </row>
        <row r="7">
          <cell r="A7" t="str">
            <v>Sr</v>
          </cell>
          <cell r="E7" t="str">
            <v>Band 7</v>
          </cell>
        </row>
        <row r="8">
          <cell r="A8" t="str">
            <v>Med</v>
          </cell>
          <cell r="E8" t="str">
            <v>Band 8</v>
          </cell>
        </row>
        <row r="9">
          <cell r="A9" t="str">
            <v>Jr</v>
          </cell>
          <cell r="E9" t="str">
            <v>Band 9</v>
          </cell>
        </row>
        <row r="12">
          <cell r="A12" t="str">
            <v>IBM - FM</v>
          </cell>
          <cell r="C12" t="str">
            <v>FTH - ITS</v>
          </cell>
        </row>
        <row r="13">
          <cell r="A13" t="str">
            <v>IBM - ITS</v>
          </cell>
          <cell r="C13" t="str">
            <v>FTH - SO</v>
          </cell>
        </row>
        <row r="28">
          <cell r="F28" t="str">
            <v xml:space="preserve">24*7 Coverage </v>
          </cell>
        </row>
        <row r="29">
          <cell r="F29" t="str">
            <v>Monday to Saturday Cov</v>
          </cell>
        </row>
        <row r="30">
          <cell r="F30" t="str">
            <v xml:space="preserve">Standard Coverage </v>
          </cell>
        </row>
      </sheetData>
      <sheetData sheetId="12" refreshError="1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4 Annex 1 Basic rate"/>
      <sheetName val="DETAILED  BOQ"/>
      <sheetName val="FT-05-02IsoBOM"/>
      <sheetName val="Detail In Door Stad"/>
      <sheetName val="Project Details.."/>
      <sheetName val="strain"/>
      <sheetName val="Design"/>
      <sheetName val="p&amp;m"/>
      <sheetName val="refer"/>
      <sheetName val="factors"/>
      <sheetName val="RCC,Ret. Wall"/>
      <sheetName val="SCHEDULE OF RATES"/>
      <sheetName val="TBAL9697 -group wise  sdpl"/>
      <sheetName val="Build-up"/>
      <sheetName val="Detail P&amp;L"/>
      <sheetName val="Assumption Sheet"/>
      <sheetName val="scurve calc (2)"/>
      <sheetName val="APPENDIX B-1"/>
      <sheetName val="Load Details(B2)"/>
      <sheetName val="Bill 3.1"/>
      <sheetName val="COLUMN"/>
      <sheetName val="CFLOW"/>
      <sheetName val="Legal Risk Analysis"/>
      <sheetName val="PRECAST lightconc-II"/>
      <sheetName val="BOQ"/>
      <sheetName val="2gii"/>
      <sheetName val="analysis"/>
      <sheetName val="GR.slab-reinft"/>
      <sheetName val="Gujrat"/>
      <sheetName val="Bill 3 - Site Works"/>
      <sheetName val="schedule1"/>
      <sheetName val="Precalculation"/>
      <sheetName val="Fill this out first..."/>
      <sheetName val="Sheet3"/>
      <sheetName val="INDIGINEOUS ITEMS "/>
      <sheetName val="Cable data"/>
      <sheetName val="Table"/>
      <sheetName val="Material "/>
      <sheetName val="basic-data"/>
      <sheetName val="mem-property"/>
      <sheetName val="FORM7"/>
      <sheetName val="SPT vs PHI"/>
      <sheetName val="Civil Works"/>
      <sheetName val="3MLKQ"/>
      <sheetName val="CABLE"/>
      <sheetName val="number"/>
      <sheetName val="ANAL"/>
      <sheetName val="Staff_Acco_"/>
      <sheetName val="Tel__"/>
      <sheetName val="Ext_light"/>
      <sheetName val="Staff_Acco_1"/>
      <sheetName val="sumary"/>
      <sheetName val="Rate Analysis"/>
      <sheetName val="Xenon(R2)"/>
      <sheetName val="SCHEDULE (3)"/>
      <sheetName val="Database"/>
      <sheetName val="schedule nos"/>
      <sheetName val="SITE OVERHEADS"/>
      <sheetName val="Boq Block A"/>
      <sheetName val="INPUT-DATA"/>
      <sheetName val="Asia Revised 10-1-07"/>
      <sheetName val="All Capital Plan P+L 10-1-07"/>
      <sheetName val="CP08 (2)"/>
      <sheetName val="Planning File 10-1-07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estimate"/>
      <sheetName val="std"/>
      <sheetName val="Costing"/>
      <sheetName val="4-Int- ele(RA)"/>
      <sheetName val="DETAILED__BOQ"/>
      <sheetName val="4_Annex_1_Basic_rate"/>
      <sheetName val="Cable_data"/>
      <sheetName val="BLOCK-A (MEA.SHEET)"/>
      <sheetName val="Box- Girder"/>
      <sheetName val="Basement Budget"/>
      <sheetName val="Sqn_Abs_G_6_ "/>
      <sheetName val="WO_Abs _G_2_ 6 DUs"/>
      <sheetName val="Air_Abs_G_6_ 23 DUs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Pile cap"/>
      <sheetName val="ABB"/>
      <sheetName val="GE"/>
      <sheetName val="DTF Summary"/>
      <sheetName val="s"/>
      <sheetName val="UNP-NCW "/>
      <sheetName val="BTB"/>
      <sheetName val="cf"/>
      <sheetName val="orders"/>
      <sheetName val="Break up Sheet"/>
      <sheetName val="DLC lookups"/>
      <sheetName val="Gen Info"/>
      <sheetName val="Indirect expenses"/>
      <sheetName val="CCTV_EST1"/>
      <sheetName val="Quote Sheet"/>
      <sheetName val="labour coeff"/>
      <sheetName val="Works - Quote Sheet"/>
      <sheetName val="Mat_Cost"/>
      <sheetName val="Cost_Any."/>
      <sheetName val="LIST OF MAKES"/>
      <sheetName val="2004"/>
      <sheetName val="Bed Class"/>
      <sheetName val="Cd"/>
      <sheetName val="Parameter"/>
      <sheetName val="1_Project_Profile"/>
      <sheetName val="Detail 1A"/>
      <sheetName val="banilad"/>
      <sheetName val="Mactan"/>
      <sheetName val="Mandaue"/>
      <sheetName val="Sheet2"/>
      <sheetName val="Detail"/>
      <sheetName val="Headings"/>
      <sheetName val="Cover"/>
      <sheetName val="Lease rents"/>
      <sheetName val="DATA"/>
      <sheetName val="SPILL OVER"/>
      <sheetName val="Loads"/>
      <sheetName val="GF Columns"/>
      <sheetName val="Cable-data"/>
      <sheetName val="Summary"/>
      <sheetName val="ACS(1)"/>
      <sheetName val="FAS-C(4)"/>
      <sheetName val="사진"/>
      <sheetName val="Intro."/>
      <sheetName val="Mat.Cost"/>
      <sheetName val="Form 6"/>
      <sheetName val="BOQ_Direct_selling cost"/>
      <sheetName val="#REF!"/>
      <sheetName val="VCH-SLC"/>
      <sheetName val="Supplier"/>
      <sheetName val="WWR"/>
      <sheetName val="jobhist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Rate"/>
      <sheetName val="Codes"/>
      <sheetName val="BHANDUP"/>
      <sheetName val="macros"/>
      <sheetName val="MASTER_RATE ANALYSIS"/>
      <sheetName val="BULook"/>
      <sheetName val="Assumptions"/>
      <sheetName val="specification options"/>
      <sheetName val="key dates"/>
      <sheetName val="Actuals"/>
      <sheetName val="Inventory"/>
      <sheetName val="Material"/>
      <sheetName val="Elite 1 - MBCL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stimation"/>
      <sheetName val="Cost summary"/>
      <sheetName val="concrete"/>
      <sheetName val="beam-reinft-IIInd floor"/>
      <sheetName val="Intro"/>
      <sheetName val="Zone"/>
      <sheetName val="Vendor"/>
      <sheetName val="Annex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beam-reinft-machine rm"/>
      <sheetName val="calcul"/>
      <sheetName val="T1 WO"/>
      <sheetName val="Direct cost shed A-2 "/>
      <sheetName val=" Resource list"/>
      <sheetName val="Labour"/>
      <sheetName val="THANE SITE"/>
      <sheetName val="BOQ Distribution"/>
      <sheetName val="01"/>
      <sheetName val="Maint"/>
      <sheetName val="Housek"/>
      <sheetName val="Labels"/>
      <sheetName val=" IO List"/>
      <sheetName val="A.O.R.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rm"/>
      <sheetName val="sample"/>
      <sheetName val="acs"/>
      <sheetName val="cctv"/>
      <sheetName val="CCTV_EST"/>
      <sheetName val="ACS+IAS_EST"/>
      <sheetName val="CCTV_EST1"/>
      <sheetName val="ACS_EST"/>
      <sheetName val="IAS_EST"/>
      <sheetName val="acs (3)"/>
      <sheetName val="acs (4)"/>
      <sheetName val="Summary (5)"/>
      <sheetName val="cctv (3)"/>
      <sheetName val="cctv (4)"/>
      <sheetName val="Summary (3)"/>
      <sheetName val="Summary (4)"/>
      <sheetName val="acs (2)"/>
      <sheetName val="cctv (2)"/>
      <sheetName val="cctv_3"/>
      <sheetName val="Makes"/>
      <sheetName val="Summary"/>
      <sheetName val="Summary (2)"/>
      <sheetName val="Staff Acco."/>
      <sheetName val="Works - Quote Sheet"/>
      <sheetName val="acs_(3)"/>
      <sheetName val="acs_(4)"/>
      <sheetName val="Summary_(5)"/>
      <sheetName val="cctv_(3)"/>
      <sheetName val="cctv_(4)"/>
      <sheetName val="Summary_(3)"/>
      <sheetName val="Summary_(4)"/>
      <sheetName val="acs_(2)"/>
      <sheetName val="cctv_(2)"/>
      <sheetName val="Summary_(2)"/>
      <sheetName val="factors"/>
      <sheetName val="PRS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21"/>
      <sheetName val="E22"/>
      <sheetName val="E23"/>
      <sheetName val="E24"/>
      <sheetName val="E25"/>
      <sheetName val="E26"/>
      <sheetName val="E27"/>
      <sheetName val="E28"/>
      <sheetName val="E29"/>
      <sheetName val="E30"/>
      <sheetName val="E31"/>
      <sheetName val="E32"/>
      <sheetName val="E33"/>
      <sheetName val="E35"/>
      <sheetName val="Civil Works"/>
      <sheetName val="basic-data"/>
      <sheetName val="mem-property"/>
      <sheetName val="Civil_Works"/>
      <sheetName val="pilecap"/>
      <sheetName val="gen"/>
      <sheetName val="concrete"/>
      <sheetName val="beam-reinft-IIInd floor"/>
      <sheetName val="TBAL9697 -group wise  sdpl"/>
      <sheetName val="Factors"/>
      <sheetName val="Config"/>
      <sheetName val="Break Dw"/>
      <sheetName val="CCTV_EST1"/>
      <sheetName val="key dates"/>
      <sheetName val="Actuals"/>
      <sheetName val="Summary_Bank"/>
      <sheetName val="환율"/>
      <sheetName val="RATE ANALYSIS HYDRAULIC 17-03-2"/>
      <sheetName val="refer"/>
      <sheetName val="cables - Warmshell"/>
      <sheetName val="zone-8"/>
      <sheetName val="MHNO_LEV"/>
      <sheetName val="Fin Sum"/>
      <sheetName val="Staff Acco."/>
      <sheetName val="GR.slab-reinft"/>
      <sheetName val="VALIDATIONS"/>
      <sheetName val="Design"/>
      <sheetName val="Name List"/>
      <sheetName val="COA-17"/>
      <sheetName val="C-18"/>
      <sheetName val="Profile"/>
      <sheetName val="Sheet3"/>
      <sheetName val="co_5"/>
      <sheetName val="Cash Flow Input Data_ISC"/>
      <sheetName val="Interface_SC"/>
      <sheetName val="Calc_ISC"/>
      <sheetName val="Calc_SC"/>
      <sheetName val="Interface_ISC"/>
      <sheetName val="GD"/>
      <sheetName val="zone-2"/>
      <sheetName val="Res Sheet"/>
      <sheetName val="Civil BOQ"/>
      <sheetName val="Sheet1"/>
      <sheetName val="Cash Flow"/>
      <sheetName val="VCH-SLC"/>
      <sheetName val="Supplier"/>
      <sheetName val="Costing"/>
      <sheetName val="Assumptions"/>
      <sheetName val="Mat.-Rates"/>
      <sheetName val="Data sheet"/>
      <sheetName val="Assmpns"/>
      <sheetName val="2.civil-RA"/>
      <sheetName val="Civil_Works1"/>
      <sheetName val="Civil &amp; design"/>
      <sheetName val="beam-reinft-IIInd_floor"/>
      <sheetName val="Civil_Works2"/>
      <sheetName val="TBAL9697_-group_wise__sdpl"/>
      <sheetName val="beam-reinft-IIInd_floor1"/>
      <sheetName val="Civil_Works3"/>
      <sheetName val="TBAL9697_-group_wise__sdpl1"/>
      <sheetName val="beam-reinft-IIInd_floor2"/>
      <sheetName val="2_civil-RA"/>
      <sheetName val="final abstract"/>
      <sheetName val="labour rates"/>
      <sheetName val="Break_Dw"/>
      <sheetName val="Break_Dw1"/>
      <sheetName val="PRECAST_lightconc-II2"/>
      <sheetName val="FINOLEX"/>
      <sheetName val="Sheet 1"/>
      <sheetName val="Set"/>
      <sheetName val="계정"/>
      <sheetName val="Map"/>
      <sheetName val="key info"/>
      <sheetName val="coa_ramco_168"/>
      <sheetName val="Driveway Beams"/>
      <sheetName val="Door"/>
      <sheetName val="Per Unit"/>
      <sheetName val="Window"/>
      <sheetName val="220 11  BS "/>
      <sheetName val="Footings"/>
      <sheetName val="Pay_Sep06"/>
      <sheetName val="Pacakges split"/>
      <sheetName val="Cashflow projection"/>
      <sheetName val="BOQ"/>
      <sheetName val="data"/>
      <sheetName val="RA-markate"/>
      <sheetName val="VL"/>
      <sheetName val="TN"/>
      <sheetName val="ND"/>
      <sheetName val="sc-mar2000"/>
      <sheetName val="Build-up"/>
      <sheetName val="p&amp;m"/>
      <sheetName val="C-12"/>
      <sheetName val="Meas.-Hotel Part"/>
      <sheetName val="System Summary"/>
      <sheetName val="Fill this out first..."/>
      <sheetName val="4 CIS"/>
      <sheetName val="Components"/>
      <sheetName val="RCC,Ret. Wall"/>
      <sheetName val="P&amp;L_summary_sub_Fu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7">
          <cell r="K7">
            <v>150</v>
          </cell>
        </row>
      </sheetData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ACS(1)"/>
      <sheetName val="CCTV(2)"/>
      <sheetName val="CCTV(old)"/>
      <sheetName val="CCTV(2-2)"/>
      <sheetName val="IAS(3)"/>
      <sheetName val="FAS-C(4)"/>
      <sheetName val="Panels(4-2)"/>
      <sheetName val="FAS-I(5)"/>
      <sheetName val="FAS-I(6)"/>
      <sheetName val="ISS(7)"/>
      <sheetName val="HSF(6)"/>
      <sheetName val="Wiring(6)"/>
      <sheetName val="Currency"/>
      <sheetName val="BOQ LT"/>
      <sheetName val="factors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ACS(1)"/>
      <sheetName val="FAS-C(4)"/>
      <sheetName val="CCTV(old)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s"/>
      <sheetName val="Overall Summary"/>
      <sheetName val="Basement Summary"/>
      <sheetName val="Basement Budget"/>
      <sheetName val="Podium Summary"/>
      <sheetName val="Podium Budgets"/>
      <sheetName val="Guestroom Summary"/>
      <sheetName val="Guestroom Budget"/>
      <sheetName val="Sitework Summary"/>
      <sheetName val="Sitework Budget"/>
      <sheetName val="GM &amp; TA"/>
      <sheetName val="Micro"/>
      <sheetName val="Macro"/>
      <sheetName val="Scaff-Rose"/>
      <sheetName val="Timesheet"/>
      <sheetName val="월선수금"/>
      <sheetName val="TBAL9697 -group wise  sdpl"/>
      <sheetName val="PCS"/>
      <sheetName val="Estimate"/>
      <sheetName val="X rate"/>
      <sheetName val="HPL"/>
      <sheetName val="PANEL ANNEXURE"/>
      <sheetName val="Cost summary"/>
      <sheetName val="Headings"/>
      <sheetName val="beam-reinft"/>
      <sheetName val="Break up Sheet"/>
      <sheetName val="Rate analysis"/>
      <sheetName val="INPUT SHEET"/>
      <sheetName val="RES-PLANNING"/>
      <sheetName val="LIST OF MAKES"/>
      <sheetName val="Material "/>
      <sheetName val="Labour &amp; Plant"/>
      <sheetName val="Voucher"/>
      <sheetName val="Balustrade"/>
      <sheetName val="Data"/>
      <sheetName val="Master Sheet"/>
      <sheetName val="Site Dev BOQ"/>
      <sheetName val="Sheet2"/>
      <sheetName val="FACTOR"/>
      <sheetName val="Sheet1"/>
      <sheetName val="Template-Design Devt Estimate"/>
      <sheetName val="Assumption Inputs"/>
      <sheetName val="Masters"/>
      <sheetName val="Sheet4"/>
      <sheetName val="CFForecast detail"/>
      <sheetName val="Design"/>
      <sheetName val="3. Elemental Summary"/>
      <sheetName val="9. Package split - Cost "/>
      <sheetName val="12a. CFTable"/>
      <sheetName val="Legend"/>
      <sheetName val="10. &amp; 11. Rate Code &amp; BQ"/>
      <sheetName val="Input"/>
      <sheetName val="Break_Up"/>
      <sheetName val="RESULT"/>
      <sheetName val="dlvoid"/>
      <sheetName val="GBW"/>
      <sheetName val="Fin"/>
      <sheetName val="Area"/>
      <sheetName val="Intro"/>
      <sheetName val="PRECAST lightconc-II"/>
      <sheetName val="E150-4"/>
      <sheetName val="Indices"/>
      <sheetName val="96수출"/>
      <sheetName val="Lead"/>
      <sheetName val="dBase"/>
      <sheetName val="Summary year Plan"/>
      <sheetName val="Fill this out first..."/>
      <sheetName val="预算"/>
      <sheetName val="PUMP"/>
      <sheetName val="Macro1"/>
      <sheetName val="Testing"/>
      <sheetName val="final estimate"/>
      <sheetName val="horizontal"/>
      <sheetName val="RMZ Summary"/>
      <sheetName val="Staff Acco."/>
      <sheetName val="Fin. Assumpt. - Sensitivities"/>
      <sheetName val="Misc.Liq"/>
      <sheetName val="Results"/>
      <sheetName val="Invoice"/>
      <sheetName val="Working"/>
      <sheetName val="Conc"/>
      <sheetName val="Codes"/>
      <sheetName val="S 2"/>
      <sheetName val="VALIDATIONS"/>
      <sheetName val="BOQ"/>
      <sheetName val="GF Columns"/>
      <sheetName val="IO LIST"/>
      <sheetName val="Overall_Summary"/>
      <sheetName val="Basement_Summary"/>
      <sheetName val="Basement_Budget"/>
      <sheetName val="Podium_Summary"/>
      <sheetName val="Podium_Budgets"/>
      <sheetName val="Guestroom_Summary"/>
      <sheetName val="Guestroom_Budget"/>
      <sheetName val="Sitework_Summary"/>
      <sheetName val="Sitework_Budget"/>
      <sheetName val="TBAL9697_-group_wise__sdpl"/>
      <sheetName val="Cost_summary"/>
      <sheetName val="GM_&amp;_TA"/>
      <sheetName val="PANEL_ANNEXURE"/>
      <sheetName val="Break_up_Sheet"/>
      <sheetName val="Rate_analysis"/>
      <sheetName val="INPUT_SHEET"/>
      <sheetName val="LIST_OF_MAKES"/>
      <sheetName val="Material_"/>
      <sheetName val="Labour_&amp;_Plant"/>
      <sheetName val="Master_Sheet"/>
      <sheetName val="Site_Dev_BOQ"/>
      <sheetName val="Costing"/>
      <sheetName val="Base data Security Procedures"/>
      <sheetName val="Project Budget Worksheet"/>
      <sheetName val="I-CO"/>
      <sheetName val="loadcal"/>
      <sheetName val="P&amp;L"/>
      <sheetName val="Phase 1"/>
      <sheetName val="Phase 2"/>
      <sheetName val="Pay_Sep06"/>
      <sheetName val="Pay Rec"/>
      <sheetName val="Assumptions"/>
      <sheetName val="Other Inc"/>
      <sheetName val="F&amp;B"/>
      <sheetName val="Admin"/>
      <sheetName val="Room Rev"/>
      <sheetName val="SMS Format"/>
      <sheetName val="External"/>
      <sheetName val="SUPPLY -Sanitary Fixtures"/>
      <sheetName val="ITEMS FOR CIVIL TENDER"/>
      <sheetName val="Sheet3"/>
      <sheetName val="analysis"/>
      <sheetName val="Global Assm."/>
      <sheetName val="PointNo.5"/>
      <sheetName val="Summary"/>
      <sheetName val="ESTIMATE for approval"/>
      <sheetName val="NPV"/>
      <sheetName val="Construction"/>
      <sheetName val="GreenSheet"/>
      <sheetName val="Basic Rates"/>
      <sheetName val="07016, Master List-Major Minor"/>
      <sheetName val="HEAD"/>
      <sheetName val="Background"/>
      <sheetName val="Substation"/>
      <sheetName val="ABB"/>
      <sheetName val="협조전"/>
      <sheetName val="Sheet14"/>
      <sheetName val="Sheet15"/>
      <sheetName val="Factors"/>
      <sheetName val="MASTER_RATE ANALYSIS"/>
      <sheetName val="Build-up"/>
      <sheetName val="INDIGINEOUS ITEMS "/>
      <sheetName val="#REF"/>
      <sheetName val="Maint"/>
      <sheetName val="Kitchen"/>
      <sheetName val="Housek"/>
      <sheetName val="Reference Information"/>
      <sheetName val="Employee List"/>
      <sheetName val="Sales Office"/>
      <sheetName val="HVAC1"/>
      <sheetName val="SECURITY 1"/>
      <sheetName val="introduction"/>
      <sheetName val=" B3"/>
      <sheetName val=" B1"/>
      <sheetName val="Extra Item"/>
      <sheetName val="Database"/>
      <sheetName val="SCHEDULE"/>
      <sheetName val="schedule nos"/>
      <sheetName val="AutoOpen Stub Data"/>
      <sheetName val="Guidelines"/>
      <sheetName val="os liabilities analysis"/>
      <sheetName val="Intaccrual"/>
      <sheetName val="SBU"/>
      <sheetName val="tdint"/>
      <sheetName val="LOM_MOD"/>
      <sheetName val="Variables"/>
      <sheetName val="3cd Annexure"/>
      <sheetName val="sept-plan"/>
      <sheetName val="Civil Boq"/>
      <sheetName val="Traffic"/>
      <sheetName val="Area St"/>
      <sheetName val="Sump_cal"/>
      <sheetName val="Estimation"/>
      <sheetName val="FORM7"/>
      <sheetName val="collections plan 0401"/>
      <sheetName val="DB_REL_SIDC_UP"/>
      <sheetName val="sqn_ldr_3 Unit_2_"/>
      <sheetName val="Cal"/>
      <sheetName val="labour coeff"/>
      <sheetName val="adp-budget"/>
      <sheetName val="Wordsdata"/>
      <sheetName val="item"/>
      <sheetName val="Fill_this_out_first___"/>
      <sheetName val="Constants"/>
      <sheetName val="FTE Totals_Plan"/>
      <sheetName val="RCC,Ret. Wall"/>
      <sheetName val="Msht-Int-Msht-GF"/>
      <sheetName val="Detail"/>
      <sheetName val="ISO RECON"/>
      <sheetName val="Back filling"/>
      <sheetName val="NT items summary"/>
      <sheetName val="Vehicles"/>
      <sheetName val="Meas.-Hotel Part"/>
      <sheetName val="Risk &amp; Opportunities"/>
      <sheetName val="PROG_DATA"/>
      <sheetName val="type ahead combo"/>
      <sheetName val="Order Info"/>
      <sheetName val="Masonry"/>
      <sheetName val="labour rates"/>
      <sheetName val="Msht 5F"/>
      <sheetName val="Cont"/>
      <sheetName val="COST"/>
      <sheetName val="LOCAL RATES"/>
      <sheetName val="Master"/>
      <sheetName val="VCH-SLC"/>
      <sheetName val="Supplier"/>
      <sheetName val="電気設備表"/>
      <sheetName val="PEDESB"/>
      <sheetName val="PA- Consutant "/>
      <sheetName val="Assmpns"/>
      <sheetName val="Erection grider"/>
      <sheetName val="doq"/>
      <sheetName val="keyword"/>
      <sheetName val="p&amp;m"/>
      <sheetName val="DATA BOQ"/>
      <sheetName val="HOLIDAY LIST"/>
      <sheetName val="DASH BOARD"/>
      <sheetName val="#REF!"/>
      <sheetName val="재1"/>
      <sheetName val="Status Control Sheet"/>
      <sheetName val="Hardware"/>
      <sheetName val="Dimensions"/>
      <sheetName val="crews"/>
      <sheetName val="BoQ-1"/>
      <sheetName val="BoQ-2"/>
      <sheetName val="INDE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LIST"/>
      <sheetName val="BOQ"/>
      <sheetName val="DDCest-basis"/>
      <sheetName val="Basement Budget"/>
      <sheetName val="PCS"/>
      <sheetName val="Material "/>
      <sheetName val="Labour &amp; Plant"/>
      <sheetName val="LIST OF MAKES"/>
      <sheetName val="Headings"/>
      <sheetName val="factors"/>
      <sheetName val="INPUT SHEET"/>
      <sheetName val="RES-PLANNING"/>
      <sheetName val="Site Dev BOQ"/>
      <sheetName val="Extra Item"/>
      <sheetName val="Pay_Sep06"/>
      <sheetName val="F1a-Pile"/>
      <sheetName val="Project Budget Worksheet"/>
      <sheetName val="Voucher"/>
      <sheetName val="Lead"/>
      <sheetName val="master"/>
      <sheetName val="Wordsdata"/>
      <sheetName val="item"/>
      <sheetName val="beam-reinft"/>
      <sheetName val="water prop."/>
      <sheetName val="PROG_DATA"/>
      <sheetName val="TBAL9697 -group wise  sdpl"/>
      <sheetName val="Indices"/>
      <sheetName val="Civil Works"/>
      <sheetName val="strand"/>
      <sheetName val="Estimate"/>
      <sheetName val="Detail"/>
      <sheetName val="HPL"/>
      <sheetName val="Data"/>
      <sheetName val="Sens"/>
      <sheetName val="loadcal"/>
      <sheetName val="Intro"/>
      <sheetName val="GBW"/>
      <sheetName val="Data sheet"/>
      <sheetName val="horizontal"/>
      <sheetName val="Assumptions"/>
      <sheetName val="预算"/>
      <sheetName val="Fill this out first..."/>
      <sheetName val="CFForecast detail"/>
      <sheetName val="Summary"/>
      <sheetName val="BASIS -DEC 08"/>
      <sheetName val="INDIGINEOUS ITEMS "/>
      <sheetName val="IO_LIST"/>
      <sheetName val="IO_LIST1"/>
      <sheetName val="Basement_Budget"/>
      <sheetName val="INPUT_SHEET"/>
      <sheetName val="Material_"/>
      <sheetName val="Labour_&amp;_Plant"/>
      <sheetName val="IO_LIST2"/>
      <sheetName val="Basement_Budget1"/>
      <sheetName val="INPUT_SHEET1"/>
      <sheetName val="Material_1"/>
      <sheetName val="Labour_&amp;_Plant1"/>
      <sheetName val="Sheet2"/>
      <sheetName val="reference"/>
      <sheetName val="Masonry"/>
      <sheetName val="OpRes"/>
      <sheetName val="calcul"/>
      <sheetName val="INTERIOR"/>
      <sheetName val="RCC,Ret. Wall"/>
      <sheetName val="Design"/>
      <sheetName val="PHE"/>
      <sheetName val="PRECAST lightconc-II"/>
      <sheetName val="Elnet-IBMS-IOlistBOQ-5103"/>
      <sheetName val="Basic Rates"/>
      <sheetName val="Fin Sum"/>
      <sheetName val="월선수금"/>
      <sheetName val="labour coeff"/>
      <sheetName val="p&amp;m"/>
      <sheetName val="Variables_x"/>
      <sheetName val="Rate Analysis"/>
      <sheetName val="HEAD"/>
      <sheetName val="Costing"/>
      <sheetName val="Mat_Cost"/>
      <sheetName val="Electrical"/>
      <sheetName val="sqn_ldr_3 Unit_2_"/>
      <sheetName val="OHT_Abs"/>
      <sheetName val="Formula"/>
      <sheetName val="Timesheet"/>
      <sheetName val="Cost summary"/>
      <sheetName val="HVAC1"/>
      <sheetName val="SECURITY 1"/>
      <sheetName val="Input"/>
      <sheetName val="Sump_cal"/>
      <sheetName val="FORM7"/>
      <sheetName val="BOQ_Direct_selling cost"/>
      <sheetName val="INDEX"/>
      <sheetName val="AREAS"/>
      <sheetName val="collections plan 0401"/>
      <sheetName val="電気設備表"/>
      <sheetName val="SILICATE"/>
      <sheetName val="Data base"/>
      <sheetName val="Building 1"/>
      <sheetName val="Boq - Flats"/>
      <sheetName val="Cal"/>
      <sheetName val="section"/>
      <sheetName val="Assmpns"/>
      <sheetName val="New Construction"/>
      <sheetName val="FACTOR"/>
      <sheetName val="final abstract"/>
      <sheetName val="Codes"/>
      <sheetName val="sheeet7"/>
      <sheetName val="3. Elemental Summary"/>
      <sheetName val="9. Package split - Cost "/>
      <sheetName val="10. &amp; 11. Rate Code &amp; BQ"/>
      <sheetName val="Centrifugal pumps_cooling tower"/>
      <sheetName val="PRESSURIZATION units"/>
      <sheetName val="BASEMENT VENT _ DUCTED OPTION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tInfo"/>
      <sheetName val="PartsInfo"/>
      <sheetName val="PricingPage"/>
      <sheetName val="Roadmap"/>
      <sheetName val="LineSummary"/>
      <sheetName val="Summary"/>
      <sheetName val="Notes"/>
      <sheetName val="Intl Shipping"/>
      <sheetName val="GCO Intl"/>
      <sheetName val="IBMPrinters"/>
      <sheetName val="Import"/>
      <sheetName val="Export"/>
      <sheetName val="ShipCost"/>
      <sheetName val="ShipPrice"/>
      <sheetName val="Royalty"/>
      <sheetName val="Formulas"/>
      <sheetName val="SaveLoad"/>
      <sheetName val="SaveLoad2"/>
      <sheetName val="TempRoadmap"/>
      <sheetName val="War Room"/>
      <sheetName val="Country"/>
      <sheetName val="Updates"/>
      <sheetName val="Menu"/>
      <sheetName val="INDIGINEOUS ITEMS "/>
      <sheetName val="S-MMS without TFA"/>
      <sheetName val="IO LIST"/>
      <sheetName val="Pay_Sep06"/>
      <sheetName val="Intl_Shipping"/>
      <sheetName val="GCO_Intl"/>
      <sheetName val="War_Room"/>
      <sheetName val="Estim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ble-data"/>
      <sheetName val="XLPE. ALLUMINIUM) (2)"/>
      <sheetName val="XLPE. ALLUMINIUM)"/>
      <sheetName val="XLPE COPPER"/>
      <sheetName val="PVC ALLUMINIUM"/>
      <sheetName val="PVC COPPER"/>
      <sheetName val="Cable_data"/>
      <sheetName val="Sheet1"/>
      <sheetName val="IO LIST"/>
      <sheetName val="R20_R30_work"/>
      <sheetName val="Formulas"/>
      <sheetName val="PRSH"/>
      <sheetName val="Factors "/>
      <sheetName val="RCC,Ret. Wall"/>
      <sheetName val="96수출"/>
      <sheetName val="PCS"/>
      <sheetName val="CABLE DATA"/>
      <sheetName val="Field Values"/>
      <sheetName val="Rate Card"/>
      <sheetName val="Variation Statement"/>
      <sheetName val="Costing"/>
      <sheetName val="horizontal"/>
      <sheetName val="Labels"/>
      <sheetName val="XLPE__ALLUMINIUM)_(2)"/>
      <sheetName val="XLPE__ALLUMINIUM)"/>
      <sheetName val="XLPE_COPPER"/>
      <sheetName val="PVC_ALLUMINIUM"/>
      <sheetName val="PVC_COPPER"/>
      <sheetName val="Query Results ALL"/>
      <sheetName val="Headings"/>
      <sheetName val="Approved MTD Proj #'s"/>
      <sheetName val="10. &amp; 11. Rate Code &amp; BQ"/>
      <sheetName val="Footings"/>
      <sheetName val="Sheet2"/>
      <sheetName val="RCC_Ret_ Wall"/>
      <sheetName val="RA-markate"/>
      <sheetName val="2000 MOR"/>
      <sheetName val="RCC,Ret__Wall"/>
      <sheetName val="Factors_"/>
      <sheetName val="XLPE__ALLUMINIUM)_(2)1"/>
      <sheetName val="XLPE__ALLUMINIUM)1"/>
      <sheetName val="XLPE_COPPER1"/>
      <sheetName val="PVC_ALLUMINIUM1"/>
      <sheetName val="PVC_COPPER1"/>
      <sheetName val="RCC,Ret__Wall1"/>
      <sheetName val="Factors_1"/>
      <sheetName val="IO_LIST"/>
      <sheetName val="Voucher"/>
      <sheetName val="Legend"/>
      <sheetName val="Break up Sheet"/>
      <sheetName val="合成単価作成・-BLDG"/>
      <sheetName val="Cost summary"/>
      <sheetName val="#REF"/>
      <sheetName val="Fill this out first..."/>
      <sheetName val="Results"/>
      <sheetName val="Inc.St.-Link"/>
      <sheetName val="PLGroupings"/>
      <sheetName val="電気設備表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    "/>
      <sheetName val="VD FOR LIGHTING"/>
      <sheetName val="CABLE DATA"/>
      <sheetName val="Sheet1"/>
      <sheetName val="Cable-data"/>
      <sheetName val="R20_R30_work"/>
      <sheetName val="Rates_PVC"/>
      <sheetName val="PRSH"/>
      <sheetName val="Formulas"/>
      <sheetName val="______"/>
      <sheetName val="VD_FOR_LIGHTING"/>
      <sheetName val="CABLE_DATA"/>
      <sheetName val="Basement Budget"/>
      <sheetName val="BOQ "/>
      <sheetName val="Flooring"/>
      <sheetName val="ELEC_BOQ"/>
      <sheetName val="Sheet2"/>
      <sheetName val="horizontal"/>
      <sheetName val="Footings"/>
      <sheetName val="RA-markate"/>
      <sheetName val="______1"/>
      <sheetName val="VD_FOR_LIGHTING1"/>
      <sheetName val="CABLE_DATA1"/>
      <sheetName val="Reference Information"/>
      <sheetName val="Employee List"/>
      <sheetName val="Sales Office"/>
      <sheetName val="Break up Sheet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-safe DELUXE"/>
      <sheetName val="d_safe DELUXE"/>
      <sheetName val="CABLE DATA"/>
      <sheetName val="girder"/>
      <sheetName val="CCTV_EST1"/>
      <sheetName val="Parameter"/>
      <sheetName val="Cable-data"/>
      <sheetName val="d-safe specs"/>
      <sheetName val="d-safe_DELUXE"/>
      <sheetName val="d_safe_DELUXE"/>
      <sheetName val="Estimate"/>
      <sheetName val="factors"/>
      <sheetName val="Basement Budget"/>
      <sheetName val="INDIGINEOUS ITEMS "/>
      <sheetName val="MAIN SUMMARY"/>
      <sheetName val="Summary"/>
      <sheetName val="INTERIORS"/>
      <sheetName val="PLUMBING"/>
      <sheetName val="Recommended make"/>
      <sheetName val="rate analysis"/>
      <sheetName val="Sheet3"/>
      <sheetName val="GF M,Sheet"/>
      <sheetName val="FF M,Sheet"/>
      <sheetName val="2nd F M,Sheet"/>
      <sheetName val="3rd F M,Sheet"/>
      <sheetName val="RA1"/>
      <sheetName val="RA2"/>
      <sheetName val="RA3"/>
      <sheetName val="NT"/>
      <sheetName val="NT- MST"/>
      <sheetName val="CS"/>
      <sheetName val="CS- MST"/>
      <sheetName val="Staff Acco_"/>
      <sheetName val="Staff Acco."/>
      <sheetName val="RECAPITULATION"/>
      <sheetName val="CABLE_DATA"/>
      <sheetName val="GMCP TRACKER (Rs)"/>
      <sheetName val="WORK TABLE"/>
      <sheetName val="Hardware"/>
      <sheetName val="Site"/>
      <sheetName val="Supplier"/>
      <sheetName val="LIST OF MAKES"/>
      <sheetName val="Costing"/>
      <sheetName val="Formulas"/>
      <sheetName val="Name List"/>
      <sheetName val="TBAL9697 -group wise  sdpl"/>
      <sheetName val="Sheet1"/>
      <sheetName val="Load_Details(B2)"/>
      <sheetName val="Break up Sheet"/>
      <sheetName val="sept-plan"/>
      <sheetName val="prsch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-safe specs"/>
      <sheetName val="d_safe specs"/>
      <sheetName val="d-safe DELUXE"/>
      <sheetName val="SPT vs PHI"/>
      <sheetName val="Final Bill of Material"/>
      <sheetName val="계정"/>
      <sheetName val="Storage"/>
      <sheetName val="CABLE DATA"/>
      <sheetName val="Boq"/>
      <sheetName val="Sheet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elec dwg"/>
      <sheetName val="COVER"/>
      <sheetName val="FACE SHEET"/>
      <sheetName val="Revised GEN"/>
      <sheetName val="Abs"/>
      <sheetName val="Mts"/>
      <sheetName val="RA OLD"/>
      <sheetName val="RA Civil (For basic rate) NEW"/>
      <sheetName val="Lead BR (2)"/>
      <sheetName val="Sheet3"/>
      <sheetName val="Sheet4"/>
      <sheetName val="Rate Analesis (2)"/>
      <sheetName val="RA Civil (For basic rate) OLD"/>
      <sheetName val="Sheet1"/>
      <sheetName val="Sheet2"/>
      <sheetName val="Sheet2 (2)"/>
      <sheetName val="d-safe specs"/>
    </sheetNames>
    <sheetDataSet>
      <sheetData sheetId="0"/>
      <sheetData sheetId="1"/>
      <sheetData sheetId="2"/>
      <sheetData sheetId="3">
        <row r="15">
          <cell r="D15" t="str">
            <v>DATE : 22.11.2017</v>
          </cell>
        </row>
      </sheetData>
      <sheetData sheetId="4"/>
      <sheetData sheetId="5">
        <row r="25">
          <cell r="I25">
            <v>3287.0417999999995</v>
          </cell>
        </row>
      </sheetData>
      <sheetData sheetId="6">
        <row r="27">
          <cell r="P27">
            <v>101.8</v>
          </cell>
        </row>
      </sheetData>
      <sheetData sheetId="7"/>
      <sheetData sheetId="8"/>
      <sheetData sheetId="9"/>
      <sheetData sheetId="10"/>
      <sheetData sheetId="11">
        <row r="525">
          <cell r="D525" t="str">
            <v>Providing and laying in position flooring of telephone black /Amba White / Cat bary brown / Ruby red / Ocean Brown granite stone of approved shade and size 18 mm to 20 mm thick on bed 1:6 cement mortar including cement floats striking joints, pointing in C.M. 1:3 curing and cleaning etc. complete.</v>
          </cell>
        </row>
      </sheetData>
      <sheetData sheetId="12"/>
      <sheetData sheetId="13"/>
      <sheetData sheetId="14"/>
      <sheetData sheetId="15"/>
      <sheetData sheetId="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H14"/>
  <sheetViews>
    <sheetView tabSelected="1" view="pageBreakPreview" zoomScaleSheetLayoutView="100" workbookViewId="0">
      <selection activeCell="I6" sqref="I6"/>
    </sheetView>
  </sheetViews>
  <sheetFormatPr defaultColWidth="9" defaultRowHeight="15.5" x14ac:dyDescent="0.35"/>
  <cols>
    <col min="1" max="1" width="5.08203125" style="13" customWidth="1"/>
    <col min="2" max="2" width="27.83203125" style="59" customWidth="1"/>
    <col min="3" max="3" width="41.75" style="34" customWidth="1"/>
    <col min="4" max="4" width="4.58203125" style="34" customWidth="1"/>
    <col min="5" max="5" width="12.33203125" style="34" bestFit="1" customWidth="1"/>
    <col min="6" max="8" width="4.58203125" style="34" customWidth="1"/>
    <col min="9" max="16384" width="9" style="13"/>
  </cols>
  <sheetData>
    <row r="1" spans="1:8" ht="25" customHeight="1" x14ac:dyDescent="0.35">
      <c r="A1" s="183" t="s">
        <v>137</v>
      </c>
      <c r="B1" s="183"/>
      <c r="C1" s="183"/>
    </row>
    <row r="2" spans="1:8" ht="49.5" customHeight="1" x14ac:dyDescent="0.35">
      <c r="A2" s="62" t="s">
        <v>71</v>
      </c>
      <c r="B2" s="3" t="s">
        <v>65</v>
      </c>
      <c r="C2" s="104" t="s">
        <v>156</v>
      </c>
    </row>
    <row r="3" spans="1:8" ht="62" x14ac:dyDescent="0.35">
      <c r="A3" s="14">
        <v>1</v>
      </c>
      <c r="B3" s="57" t="s">
        <v>157</v>
      </c>
      <c r="C3" s="67" t="s">
        <v>158</v>
      </c>
    </row>
    <row r="4" spans="1:8" ht="36" customHeight="1" x14ac:dyDescent="0.35">
      <c r="A4" s="14">
        <v>2</v>
      </c>
      <c r="B4" s="57" t="s">
        <v>183</v>
      </c>
      <c r="C4" s="67" t="s">
        <v>186</v>
      </c>
    </row>
    <row r="5" spans="1:8" ht="25" customHeight="1" x14ac:dyDescent="0.35">
      <c r="A5" s="14">
        <v>3</v>
      </c>
      <c r="B5" s="57" t="s">
        <v>184</v>
      </c>
      <c r="C5" s="67" t="s">
        <v>187</v>
      </c>
    </row>
    <row r="6" spans="1:8" ht="25" customHeight="1" x14ac:dyDescent="0.35">
      <c r="A6" s="14">
        <v>4</v>
      </c>
      <c r="B6" s="57" t="s">
        <v>159</v>
      </c>
      <c r="C6" s="105" t="s">
        <v>174</v>
      </c>
    </row>
    <row r="7" spans="1:8" ht="25" customHeight="1" x14ac:dyDescent="0.35">
      <c r="A7" s="14">
        <v>5</v>
      </c>
      <c r="B7" s="57" t="s">
        <v>160</v>
      </c>
      <c r="C7" s="105" t="s">
        <v>161</v>
      </c>
    </row>
    <row r="8" spans="1:8" ht="25" customHeight="1" x14ac:dyDescent="0.35">
      <c r="A8" s="14">
        <v>6</v>
      </c>
      <c r="B8" s="57" t="s">
        <v>162</v>
      </c>
      <c r="C8" s="105" t="s">
        <v>163</v>
      </c>
    </row>
    <row r="9" spans="1:8" ht="48" customHeight="1" x14ac:dyDescent="0.35">
      <c r="A9" s="14">
        <v>7</v>
      </c>
      <c r="B9" s="57" t="s">
        <v>185</v>
      </c>
      <c r="C9" s="67" t="s">
        <v>188</v>
      </c>
    </row>
    <row r="10" spans="1:8" ht="30" customHeight="1" x14ac:dyDescent="0.35">
      <c r="A10" s="14">
        <v>8</v>
      </c>
      <c r="B10" s="57" t="s">
        <v>164</v>
      </c>
      <c r="C10" s="105" t="s">
        <v>165</v>
      </c>
    </row>
    <row r="11" spans="1:8" s="51" customFormat="1" ht="30.75" customHeight="1" x14ac:dyDescent="0.35">
      <c r="A11" s="14">
        <v>9</v>
      </c>
      <c r="B11" s="57" t="s">
        <v>166</v>
      </c>
      <c r="C11" s="105" t="s">
        <v>175</v>
      </c>
      <c r="D11" s="45"/>
      <c r="E11" s="45">
        <v>247280891</v>
      </c>
      <c r="F11" s="45"/>
      <c r="G11" s="45"/>
      <c r="H11" s="45"/>
    </row>
    <row r="12" spans="1:8" ht="27.75" customHeight="1" x14ac:dyDescent="0.35">
      <c r="A12" s="14">
        <v>10</v>
      </c>
      <c r="B12" s="149"/>
      <c r="C12" s="105"/>
      <c r="E12" s="34">
        <v>230495000</v>
      </c>
    </row>
    <row r="13" spans="1:8" ht="27.75" customHeight="1" x14ac:dyDescent="0.35">
      <c r="A13" s="14"/>
      <c r="B13" s="149"/>
      <c r="C13" s="105"/>
      <c r="E13" s="34">
        <f>E11-E12</f>
        <v>16785891</v>
      </c>
    </row>
    <row r="14" spans="1:8" ht="28.5" customHeight="1" x14ac:dyDescent="0.35">
      <c r="A14" s="14"/>
      <c r="B14" s="57"/>
      <c r="C14" s="149"/>
      <c r="E14" s="150">
        <f>E13/E11</f>
        <v>6.7881876889549053E-2</v>
      </c>
    </row>
  </sheetData>
  <mergeCells count="1">
    <mergeCell ref="A1:C1"/>
  </mergeCells>
  <printOptions horizontalCentered="1"/>
  <pageMargins left="0.86" right="0.34" top="0.74803149606299202" bottom="0.74803149606299202" header="0.31496062992126" footer="0.31496062992126"/>
  <pageSetup paperSize="9" fitToHeight="1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50"/>
    <pageSetUpPr fitToPage="1"/>
  </sheetPr>
  <dimension ref="A1:J11"/>
  <sheetViews>
    <sheetView view="pageBreakPreview" zoomScaleSheetLayoutView="100" workbookViewId="0">
      <selection activeCell="D7" sqref="D7"/>
    </sheetView>
  </sheetViews>
  <sheetFormatPr defaultColWidth="9" defaultRowHeight="15.5" x14ac:dyDescent="0.35"/>
  <cols>
    <col min="1" max="1" width="5.08203125" style="13" customWidth="1"/>
    <col min="2" max="2" width="25" style="59" customWidth="1"/>
    <col min="3" max="3" width="16.25" style="34" customWidth="1"/>
    <col min="4" max="4" width="14.83203125" style="34" customWidth="1"/>
    <col min="5" max="5" width="13.58203125" style="34" customWidth="1"/>
    <col min="6" max="6" width="6.33203125" style="34" customWidth="1"/>
    <col min="7" max="7" width="6.58203125" style="34" customWidth="1"/>
    <col min="8" max="8" width="8.25" style="34" customWidth="1"/>
    <col min="9" max="10" width="4.58203125" style="34" customWidth="1"/>
    <col min="11" max="16384" width="9" style="13"/>
  </cols>
  <sheetData>
    <row r="1" spans="1:10" ht="25" customHeight="1" x14ac:dyDescent="0.35">
      <c r="A1" s="183" t="s">
        <v>176</v>
      </c>
      <c r="B1" s="183"/>
      <c r="C1" s="183"/>
      <c r="D1" s="3"/>
      <c r="E1" s="3"/>
    </row>
    <row r="2" spans="1:10" ht="49.5" customHeight="1" x14ac:dyDescent="0.35">
      <c r="A2" s="62" t="s">
        <v>71</v>
      </c>
      <c r="B2" s="3" t="s">
        <v>65</v>
      </c>
      <c r="C2" s="104" t="s">
        <v>177</v>
      </c>
      <c r="D2" s="104" t="s">
        <v>178</v>
      </c>
      <c r="E2" s="104" t="s">
        <v>179</v>
      </c>
    </row>
    <row r="3" spans="1:10" ht="25" customHeight="1" x14ac:dyDescent="0.35">
      <c r="A3" s="14">
        <v>1</v>
      </c>
      <c r="B3" s="58" t="s">
        <v>67</v>
      </c>
      <c r="C3" s="8">
        <f>Labour!L18</f>
        <v>16473715.656164955</v>
      </c>
      <c r="D3" s="5">
        <f>C3/10000000</f>
        <v>1.6473715656164956</v>
      </c>
      <c r="E3" s="173">
        <f>D3/$D$8</f>
        <v>0.28061931958130432</v>
      </c>
    </row>
    <row r="4" spans="1:10" ht="25" customHeight="1" x14ac:dyDescent="0.35">
      <c r="A4" s="14">
        <v>2</v>
      </c>
      <c r="B4" s="58" t="s">
        <v>70</v>
      </c>
      <c r="C4" s="8">
        <f>'Other material '!L18</f>
        <v>37875836.053038999</v>
      </c>
      <c r="D4" s="5">
        <f>C4/10000000</f>
        <v>3.7875836053039</v>
      </c>
      <c r="E4" s="173">
        <f t="shared" ref="E4:E8" si="0">D4/$D$8</f>
        <v>0.64519089461151813</v>
      </c>
    </row>
    <row r="5" spans="1:10" ht="25" customHeight="1" x14ac:dyDescent="0.35">
      <c r="A5" s="14">
        <v>3</v>
      </c>
      <c r="B5" s="58" t="s">
        <v>68</v>
      </c>
      <c r="C5" s="8">
        <f>P.O.L!L15</f>
        <v>1209443.5392492246</v>
      </c>
      <c r="D5" s="5">
        <f t="shared" ref="D5:D8" si="1">C5/10000000</f>
        <v>0.12094435392492246</v>
      </c>
      <c r="E5" s="173">
        <f t="shared" si="0"/>
        <v>2.0602105204426721E-2</v>
      </c>
    </row>
    <row r="6" spans="1:10" ht="25" customHeight="1" x14ac:dyDescent="0.35">
      <c r="A6" s="14">
        <v>4</v>
      </c>
      <c r="B6" s="58" t="s">
        <v>66</v>
      </c>
      <c r="C6" s="8">
        <f>TMT!L18</f>
        <v>2600901.7085520206</v>
      </c>
      <c r="D6" s="5">
        <f t="shared" si="1"/>
        <v>0.26009017085520209</v>
      </c>
      <c r="E6" s="173">
        <f t="shared" si="0"/>
        <v>4.4304714430261724E-2</v>
      </c>
    </row>
    <row r="7" spans="1:10" ht="25" customHeight="1" x14ac:dyDescent="0.35">
      <c r="A7" s="14">
        <v>5</v>
      </c>
      <c r="B7" s="58" t="s">
        <v>6</v>
      </c>
      <c r="C7" s="8">
        <f>Cement!L13</f>
        <v>544955.15632905473</v>
      </c>
      <c r="D7" s="5">
        <f t="shared" si="1"/>
        <v>5.4495515632905472E-2</v>
      </c>
      <c r="E7" s="173">
        <f t="shared" si="0"/>
        <v>9.2829661724890579E-3</v>
      </c>
    </row>
    <row r="8" spans="1:10" s="51" customFormat="1" ht="27" customHeight="1" x14ac:dyDescent="0.35">
      <c r="A8" s="3" t="s">
        <v>126</v>
      </c>
      <c r="B8" s="57" t="s">
        <v>131</v>
      </c>
      <c r="C8" s="61">
        <f>SUM(C3:C7)</f>
        <v>58704852.113334261</v>
      </c>
      <c r="D8" s="35">
        <f t="shared" si="1"/>
        <v>5.8704852113334258</v>
      </c>
      <c r="E8" s="174">
        <f t="shared" si="0"/>
        <v>1</v>
      </c>
      <c r="F8" s="45"/>
      <c r="G8" s="151">
        <f>C8/Labour!B21</f>
        <v>0.2546903495231318</v>
      </c>
      <c r="H8" s="151">
        <f>G8/6</f>
        <v>4.2448391587188633E-2</v>
      </c>
      <c r="I8" s="45"/>
      <c r="J8" s="45"/>
    </row>
    <row r="9" spans="1:10" ht="27.75" customHeight="1" x14ac:dyDescent="0.35">
      <c r="A9" s="14" t="s">
        <v>127</v>
      </c>
      <c r="B9" s="105" t="s">
        <v>151</v>
      </c>
      <c r="C9" s="8">
        <f>C8*9%</f>
        <v>5283436.690200083</v>
      </c>
      <c r="D9" s="8"/>
      <c r="E9" s="8"/>
    </row>
    <row r="10" spans="1:10" ht="27.75" customHeight="1" x14ac:dyDescent="0.35">
      <c r="A10" s="14" t="s">
        <v>128</v>
      </c>
      <c r="B10" s="105" t="s">
        <v>152</v>
      </c>
      <c r="C10" s="8">
        <f>C8*9%</f>
        <v>5283436.690200083</v>
      </c>
      <c r="D10" s="8"/>
      <c r="E10" s="8"/>
    </row>
    <row r="11" spans="1:10" ht="28.5" customHeight="1" x14ac:dyDescent="0.35">
      <c r="A11" s="3" t="s">
        <v>129</v>
      </c>
      <c r="B11" s="57" t="s">
        <v>136</v>
      </c>
      <c r="C11" s="61">
        <f>ROUNDUP(C8+C9+C10,0)</f>
        <v>69271726</v>
      </c>
      <c r="D11" s="61"/>
      <c r="E11" s="61"/>
    </row>
  </sheetData>
  <mergeCells count="1">
    <mergeCell ref="A1:C1"/>
  </mergeCells>
  <printOptions horizontalCentered="1"/>
  <pageMargins left="0.99" right="0.56999999999999995" top="0.7" bottom="0.74803149606299213" header="0.31496062992125984" footer="0.31496062992125984"/>
  <pageSetup paperSize="9" fitToHeight="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  <pageSetUpPr fitToPage="1"/>
  </sheetPr>
  <dimension ref="A1:O26"/>
  <sheetViews>
    <sheetView view="pageBreakPreview" topLeftCell="A6" zoomScale="85" zoomScaleSheetLayoutView="85" workbookViewId="0">
      <selection activeCell="F12" sqref="F12"/>
    </sheetView>
  </sheetViews>
  <sheetFormatPr defaultRowHeight="15.5" x14ac:dyDescent="0.35"/>
  <cols>
    <col min="1" max="1" width="10.75" bestFit="1" customWidth="1"/>
    <col min="2" max="2" width="14" customWidth="1"/>
    <col min="3" max="3" width="19.25" customWidth="1"/>
    <col min="4" max="4" width="12.83203125" style="40" customWidth="1"/>
    <col min="5" max="5" width="11.25" style="13" customWidth="1"/>
    <col min="6" max="6" width="12.58203125" customWidth="1"/>
    <col min="7" max="7" width="12.08203125" style="50" customWidth="1"/>
    <col min="8" max="8" width="9.33203125" style="13" bestFit="1" customWidth="1"/>
    <col min="9" max="9" width="11.5" style="39" customWidth="1"/>
    <col min="11" max="11" width="8.08203125" customWidth="1"/>
    <col min="12" max="12" width="15.83203125" style="69" customWidth="1"/>
    <col min="13" max="13" width="12.08203125" customWidth="1"/>
  </cols>
  <sheetData>
    <row r="1" spans="1:15" ht="23.25" customHeight="1" x14ac:dyDescent="0.35">
      <c r="A1" s="184" t="s">
        <v>11</v>
      </c>
      <c r="B1" s="184"/>
      <c r="C1" s="184"/>
      <c r="D1" s="184"/>
      <c r="E1" s="184"/>
      <c r="F1" s="184"/>
      <c r="G1" s="97" t="s">
        <v>132</v>
      </c>
      <c r="H1" s="97"/>
      <c r="I1" s="98"/>
      <c r="J1" s="97"/>
      <c r="K1" s="97"/>
      <c r="L1" s="98"/>
    </row>
    <row r="2" spans="1:15" ht="32.25" customHeight="1" x14ac:dyDescent="0.35">
      <c r="A2" s="198" t="s">
        <v>12</v>
      </c>
      <c r="B2" s="199"/>
      <c r="C2" s="14" t="s">
        <v>18</v>
      </c>
      <c r="D2" s="14"/>
      <c r="E2" s="96"/>
      <c r="F2" s="60" t="s">
        <v>24</v>
      </c>
      <c r="G2" s="46"/>
      <c r="H2" s="60" t="s">
        <v>138</v>
      </c>
      <c r="I2" s="99"/>
      <c r="J2" s="60" t="s">
        <v>25</v>
      </c>
      <c r="K2" s="60"/>
      <c r="L2" s="65" t="s">
        <v>139</v>
      </c>
    </row>
    <row r="3" spans="1:15" ht="19.5" customHeight="1" x14ac:dyDescent="0.35">
      <c r="A3" s="2" t="s">
        <v>16</v>
      </c>
      <c r="B3" s="11">
        <v>0.22</v>
      </c>
      <c r="C3" s="10" t="s">
        <v>19</v>
      </c>
      <c r="D3" s="70">
        <f>O14</f>
        <v>316.33333333333331</v>
      </c>
      <c r="E3" s="186" t="s">
        <v>0</v>
      </c>
      <c r="F3" s="187"/>
      <c r="G3" s="47"/>
      <c r="H3" s="14"/>
      <c r="I3" s="2"/>
      <c r="J3" s="2"/>
      <c r="K3" s="2"/>
      <c r="L3" s="63"/>
    </row>
    <row r="4" spans="1:15" ht="19.5" customHeight="1" x14ac:dyDescent="0.35">
      <c r="A4" s="2" t="s">
        <v>15</v>
      </c>
      <c r="B4" s="11">
        <v>0.76</v>
      </c>
      <c r="C4" s="10" t="s">
        <v>20</v>
      </c>
      <c r="D4" s="36"/>
      <c r="E4" s="186" t="s">
        <v>1</v>
      </c>
      <c r="F4" s="187"/>
      <c r="G4" s="42" t="s">
        <v>140</v>
      </c>
      <c r="H4" s="60"/>
      <c r="I4" s="43"/>
      <c r="J4" s="43"/>
      <c r="K4" s="43"/>
      <c r="L4" s="66"/>
    </row>
    <row r="5" spans="1:15" ht="19.5" customHeight="1" x14ac:dyDescent="0.35">
      <c r="A5" s="2" t="s">
        <v>17</v>
      </c>
      <c r="B5" s="11">
        <v>0.02</v>
      </c>
      <c r="C5" s="10" t="s">
        <v>21</v>
      </c>
      <c r="D5" s="2"/>
      <c r="E5" s="194" t="s">
        <v>2</v>
      </c>
      <c r="F5" s="195"/>
      <c r="G5" s="188" t="s">
        <v>141</v>
      </c>
      <c r="H5" s="189"/>
      <c r="I5" s="189"/>
      <c r="J5" s="189"/>
      <c r="K5" s="189"/>
      <c r="L5" s="190"/>
    </row>
    <row r="6" spans="1:15" ht="19.5" customHeight="1" x14ac:dyDescent="0.35">
      <c r="A6" s="2"/>
      <c r="B6" s="11"/>
      <c r="C6" s="10" t="s">
        <v>22</v>
      </c>
      <c r="D6" s="12"/>
      <c r="E6" s="196"/>
      <c r="F6" s="197"/>
      <c r="G6" s="191"/>
      <c r="H6" s="192"/>
      <c r="I6" s="192"/>
      <c r="J6" s="192"/>
      <c r="K6" s="192"/>
      <c r="L6" s="193"/>
      <c r="N6">
        <f>22/100</f>
        <v>0.22</v>
      </c>
    </row>
    <row r="7" spans="1:15" ht="30.75" customHeight="1" x14ac:dyDescent="0.35">
      <c r="A7" s="2"/>
      <c r="B7" s="12"/>
      <c r="C7" s="10" t="s">
        <v>23</v>
      </c>
      <c r="D7" s="2"/>
      <c r="E7" s="186" t="s">
        <v>3</v>
      </c>
      <c r="F7" s="187"/>
      <c r="G7" s="44" t="s">
        <v>173</v>
      </c>
      <c r="H7" s="14"/>
      <c r="I7" s="44"/>
      <c r="J7" s="44"/>
      <c r="K7" s="44"/>
      <c r="L7" s="67"/>
    </row>
    <row r="8" spans="1:15" ht="19.5" hidden="1" customHeight="1" x14ac:dyDescent="0.35">
      <c r="A8" s="2"/>
      <c r="B8" s="12"/>
      <c r="C8" s="10"/>
      <c r="D8" s="2"/>
      <c r="E8" s="2"/>
      <c r="F8" s="2"/>
      <c r="G8" s="44"/>
      <c r="H8" s="14"/>
      <c r="I8" s="8"/>
      <c r="J8" s="100">
        <v>40756</v>
      </c>
      <c r="K8" s="101">
        <f>202</f>
        <v>202</v>
      </c>
      <c r="L8" s="106">
        <f>AVERAGE(K8:K10)</f>
        <v>204</v>
      </c>
    </row>
    <row r="9" spans="1:15" ht="19.5" hidden="1" customHeight="1" x14ac:dyDescent="0.35">
      <c r="A9" s="2"/>
      <c r="B9" s="12"/>
      <c r="C9" s="10"/>
      <c r="D9" s="2"/>
      <c r="E9" s="2"/>
      <c r="F9" s="2"/>
      <c r="G9" s="44"/>
      <c r="H9" s="14"/>
      <c r="I9" s="8"/>
      <c r="J9" s="100">
        <v>40787</v>
      </c>
      <c r="K9" s="101">
        <f>204</f>
        <v>204</v>
      </c>
      <c r="L9" s="102"/>
    </row>
    <row r="10" spans="1:15" ht="19.5" hidden="1" customHeight="1" x14ac:dyDescent="0.35">
      <c r="A10" s="2"/>
      <c r="B10" s="12"/>
      <c r="C10" s="10"/>
      <c r="D10" s="2"/>
      <c r="E10" s="2"/>
      <c r="F10" s="2"/>
      <c r="G10" s="44"/>
      <c r="H10" s="14"/>
      <c r="I10" s="8"/>
      <c r="J10" s="100">
        <v>40817</v>
      </c>
      <c r="K10" s="101">
        <f>206</f>
        <v>206</v>
      </c>
      <c r="L10" s="103"/>
    </row>
    <row r="11" spans="1:15" hidden="1" x14ac:dyDescent="0.35">
      <c r="A11" s="83"/>
      <c r="B11" s="83"/>
      <c r="C11" s="83"/>
      <c r="D11" s="36"/>
      <c r="E11" s="14"/>
      <c r="F11" s="83"/>
      <c r="G11" s="84"/>
      <c r="H11" s="14"/>
      <c r="I11" s="8"/>
      <c r="J11" s="83"/>
      <c r="K11" s="35">
        <f>SUM(K8:K10)</f>
        <v>612</v>
      </c>
      <c r="L11" s="5"/>
    </row>
    <row r="12" spans="1:15" s="1" customFormat="1" ht="139.5" x14ac:dyDescent="0.35">
      <c r="A12" s="9" t="s">
        <v>13</v>
      </c>
      <c r="B12" s="9" t="s">
        <v>102</v>
      </c>
      <c r="C12" s="9" t="s">
        <v>103</v>
      </c>
      <c r="D12" s="37" t="s">
        <v>108</v>
      </c>
      <c r="E12" s="9" t="s">
        <v>105</v>
      </c>
      <c r="F12" s="9" t="s">
        <v>4</v>
      </c>
      <c r="G12" s="48" t="s">
        <v>109</v>
      </c>
      <c r="H12" s="9" t="s">
        <v>115</v>
      </c>
      <c r="I12" s="37" t="s">
        <v>106</v>
      </c>
      <c r="J12" s="9" t="s">
        <v>107</v>
      </c>
      <c r="K12" s="9" t="s">
        <v>63</v>
      </c>
      <c r="L12" s="37" t="s">
        <v>113</v>
      </c>
      <c r="M12" s="1">
        <f>5500/20</f>
        <v>275</v>
      </c>
    </row>
    <row r="13" spans="1:15" s="52" customFormat="1" ht="25" customHeight="1" x14ac:dyDescent="0.35">
      <c r="A13" s="9">
        <v>1</v>
      </c>
      <c r="B13" s="9">
        <v>2</v>
      </c>
      <c r="C13" s="9">
        <v>3</v>
      </c>
      <c r="D13" s="37">
        <v>4</v>
      </c>
      <c r="E13" s="14">
        <v>5</v>
      </c>
      <c r="F13" s="9">
        <v>6</v>
      </c>
      <c r="G13" s="8">
        <v>7</v>
      </c>
      <c r="H13" s="14">
        <v>8</v>
      </c>
      <c r="I13" s="8">
        <v>9</v>
      </c>
      <c r="J13" s="9">
        <v>10</v>
      </c>
      <c r="K13" s="9">
        <v>11</v>
      </c>
      <c r="L13" s="37">
        <v>12</v>
      </c>
    </row>
    <row r="14" spans="1:15" s="1" customFormat="1" ht="25" customHeight="1" x14ac:dyDescent="0.35">
      <c r="A14" s="4">
        <v>45961</v>
      </c>
      <c r="B14" s="2" t="s">
        <v>14</v>
      </c>
      <c r="C14" s="8">
        <f>B21</f>
        <v>230495000</v>
      </c>
      <c r="D14" s="8">
        <f>'Material details'!G10</f>
        <v>19375880.552145001</v>
      </c>
      <c r="E14" s="8">
        <f>C14-D14</f>
        <v>211119119.447855</v>
      </c>
      <c r="F14" s="100">
        <v>45870</v>
      </c>
      <c r="G14" s="101">
        <v>444.68200000000002</v>
      </c>
      <c r="H14" s="5">
        <f>G17/3</f>
        <v>448.33133333333336</v>
      </c>
      <c r="I14" s="8">
        <f>E14*0.85</f>
        <v>179451251.53067675</v>
      </c>
      <c r="J14" s="2"/>
      <c r="K14" s="14">
        <v>0.22</v>
      </c>
      <c r="L14" s="8">
        <f>((I14*K14*(H14-$O$14))/$O$14)</f>
        <v>16473715.656164955</v>
      </c>
      <c r="M14" s="114">
        <v>43586</v>
      </c>
      <c r="N14" s="1">
        <v>314</v>
      </c>
      <c r="O14" s="116">
        <f>AVERAGE(N14:N16)</f>
        <v>316.33333333333331</v>
      </c>
    </row>
    <row r="15" spans="1:15" s="1" customFormat="1" ht="25" customHeight="1" x14ac:dyDescent="0.35">
      <c r="A15" s="4"/>
      <c r="B15" s="2"/>
      <c r="C15" s="14"/>
      <c r="D15" s="8"/>
      <c r="E15" s="8"/>
      <c r="F15" s="100">
        <v>45901</v>
      </c>
      <c r="G15" s="101">
        <v>444.68200000000002</v>
      </c>
      <c r="H15" s="5"/>
      <c r="I15" s="8"/>
      <c r="J15" s="2"/>
      <c r="K15" s="2"/>
      <c r="L15" s="8"/>
      <c r="M15" s="114">
        <v>43617</v>
      </c>
      <c r="N15" s="1">
        <v>316</v>
      </c>
      <c r="O15" s="117"/>
    </row>
    <row r="16" spans="1:15" s="1" customFormat="1" ht="25" customHeight="1" x14ac:dyDescent="0.35">
      <c r="A16" s="2"/>
      <c r="B16" s="2"/>
      <c r="C16" s="14"/>
      <c r="D16" s="8"/>
      <c r="E16" s="8"/>
      <c r="F16" s="100">
        <v>45931</v>
      </c>
      <c r="G16" s="101">
        <v>455.63000000000005</v>
      </c>
      <c r="H16" s="5"/>
      <c r="I16" s="8"/>
      <c r="J16" s="2"/>
      <c r="K16" s="2"/>
      <c r="L16" s="8"/>
      <c r="M16" s="114">
        <v>43647</v>
      </c>
      <c r="N16" s="1">
        <v>319</v>
      </c>
      <c r="O16" s="118"/>
    </row>
    <row r="17" spans="1:15" s="1" customFormat="1" ht="25" customHeight="1" x14ac:dyDescent="0.35">
      <c r="A17" s="2"/>
      <c r="B17" s="2"/>
      <c r="C17" s="14"/>
      <c r="D17" s="8"/>
      <c r="E17" s="8"/>
      <c r="F17" s="4"/>
      <c r="G17" s="35">
        <f>SUM(G14:G16)</f>
        <v>1344.9940000000001</v>
      </c>
      <c r="H17" s="5"/>
      <c r="I17" s="8"/>
      <c r="J17" s="2"/>
      <c r="K17" s="2"/>
      <c r="L17" s="63"/>
      <c r="M17" s="119"/>
      <c r="N17" s="120">
        <f>SUM(N14:N16)</f>
        <v>949</v>
      </c>
      <c r="O17" s="121"/>
    </row>
    <row r="18" spans="1:15" s="1" customFormat="1" ht="25" customHeight="1" x14ac:dyDescent="0.35">
      <c r="A18" s="2"/>
      <c r="B18" s="2"/>
      <c r="C18" s="61">
        <f>SUM(C14:C17)</f>
        <v>230495000</v>
      </c>
      <c r="D18" s="61">
        <f>SUM(D14:D17)</f>
        <v>19375880.552145001</v>
      </c>
      <c r="E18" s="61">
        <f>SUM(E14:E17)</f>
        <v>211119119.447855</v>
      </c>
      <c r="F18" s="2"/>
      <c r="G18" s="35"/>
      <c r="H18" s="5"/>
      <c r="I18" s="61">
        <f>SUM(I14:I17)</f>
        <v>179451251.53067675</v>
      </c>
      <c r="J18" s="2"/>
      <c r="K18" s="2"/>
      <c r="L18" s="61">
        <f>SUM(L14:L17)</f>
        <v>16473715.656164955</v>
      </c>
    </row>
    <row r="19" spans="1:15" s="1" customFormat="1" x14ac:dyDescent="0.35">
      <c r="D19" s="39"/>
      <c r="E19" s="13"/>
      <c r="G19" s="49"/>
      <c r="H19" s="13"/>
      <c r="I19" s="39"/>
      <c r="L19" s="68"/>
    </row>
    <row r="21" spans="1:15" x14ac:dyDescent="0.35">
      <c r="B21" s="50">
        <v>230495000</v>
      </c>
      <c r="C21" s="69"/>
    </row>
    <row r="22" spans="1:15" x14ac:dyDescent="0.35">
      <c r="B22" s="50">
        <f>'Material details'!G11</f>
        <v>19375880.552145001</v>
      </c>
      <c r="M22" s="100">
        <v>41913</v>
      </c>
      <c r="N22" s="101">
        <f>246*4.96</f>
        <v>1220.1600000000001</v>
      </c>
      <c r="O22" s="185">
        <f>AVERAGE(N22:N24)</f>
        <v>1220.1600000000001</v>
      </c>
    </row>
    <row r="23" spans="1:15" x14ac:dyDescent="0.35">
      <c r="B23" s="50">
        <f>B21-B22</f>
        <v>211119119.447855</v>
      </c>
      <c r="M23" s="100">
        <v>41944</v>
      </c>
      <c r="N23" s="101">
        <f>246*4.96</f>
        <v>1220.1600000000001</v>
      </c>
      <c r="O23" s="185"/>
    </row>
    <row r="24" spans="1:15" x14ac:dyDescent="0.35">
      <c r="M24" s="100">
        <v>41974</v>
      </c>
      <c r="N24" s="101">
        <f>246*4.96</f>
        <v>1220.1600000000001</v>
      </c>
      <c r="O24" s="185"/>
    </row>
    <row r="26" spans="1:15" x14ac:dyDescent="0.35">
      <c r="B26">
        <v>165101326.25715002</v>
      </c>
    </row>
  </sheetData>
  <mergeCells count="8">
    <mergeCell ref="A1:F1"/>
    <mergeCell ref="O22:O24"/>
    <mergeCell ref="E7:F7"/>
    <mergeCell ref="G5:L6"/>
    <mergeCell ref="E3:F3"/>
    <mergeCell ref="E4:F4"/>
    <mergeCell ref="E5:F6"/>
    <mergeCell ref="A2:B2"/>
  </mergeCells>
  <pageMargins left="0.4" right="0.27" top="0.76" bottom="0.22" header="0.63" footer="0.2"/>
  <pageSetup paperSize="9" scale="88" fitToHeight="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50"/>
    <pageSetUpPr fitToPage="1"/>
  </sheetPr>
  <dimension ref="A1:O19"/>
  <sheetViews>
    <sheetView view="pageBreakPreview" zoomScale="85" zoomScaleSheetLayoutView="85" workbookViewId="0">
      <selection activeCell="A14" sqref="A14"/>
    </sheetView>
  </sheetViews>
  <sheetFormatPr defaultRowHeight="15.5" x14ac:dyDescent="0.35"/>
  <cols>
    <col min="1" max="1" width="10.75" bestFit="1" customWidth="1"/>
    <col min="2" max="2" width="14" customWidth="1"/>
    <col min="3" max="3" width="19.25" customWidth="1"/>
    <col min="4" max="4" width="12.83203125" style="40" customWidth="1"/>
    <col min="5" max="5" width="11.25" style="13" customWidth="1"/>
    <col min="6" max="6" width="12.58203125" customWidth="1"/>
    <col min="7" max="7" width="11.75" style="50" customWidth="1"/>
    <col min="8" max="8" width="9.33203125" style="13" bestFit="1" customWidth="1"/>
    <col min="9" max="9" width="10.25" style="39" bestFit="1" customWidth="1"/>
    <col min="11" max="11" width="8.08203125" customWidth="1"/>
    <col min="12" max="12" width="12.58203125" style="69" customWidth="1"/>
  </cols>
  <sheetData>
    <row r="1" spans="1:15" ht="23.25" customHeight="1" x14ac:dyDescent="0.35">
      <c r="A1" s="184" t="s">
        <v>11</v>
      </c>
      <c r="B1" s="184"/>
      <c r="C1" s="184"/>
      <c r="D1" s="184"/>
      <c r="E1" s="184"/>
      <c r="F1" s="184"/>
      <c r="G1" s="200" t="s">
        <v>133</v>
      </c>
      <c r="H1" s="200"/>
      <c r="I1" s="97"/>
      <c r="J1" s="97"/>
      <c r="K1" s="97"/>
      <c r="L1" s="97"/>
    </row>
    <row r="2" spans="1:15" ht="37.5" customHeight="1" x14ac:dyDescent="0.35">
      <c r="A2" s="198" t="s">
        <v>12</v>
      </c>
      <c r="B2" s="199"/>
      <c r="C2" s="14" t="s">
        <v>18</v>
      </c>
      <c r="D2" s="14"/>
      <c r="E2" s="96"/>
      <c r="F2" s="60" t="s">
        <v>24</v>
      </c>
      <c r="G2" s="46"/>
      <c r="H2" s="60" t="s">
        <v>138</v>
      </c>
      <c r="I2" s="99"/>
      <c r="J2" s="60" t="s">
        <v>25</v>
      </c>
      <c r="K2" s="60"/>
      <c r="L2" s="65" t="s">
        <v>139</v>
      </c>
    </row>
    <row r="3" spans="1:15" ht="19.5" customHeight="1" x14ac:dyDescent="0.35">
      <c r="A3" s="2" t="s">
        <v>16</v>
      </c>
      <c r="B3" s="11">
        <v>0.22</v>
      </c>
      <c r="C3" s="10" t="s">
        <v>19</v>
      </c>
      <c r="D3" s="36"/>
      <c r="E3" s="186" t="s">
        <v>0</v>
      </c>
      <c r="F3" s="187"/>
      <c r="G3" s="47"/>
      <c r="H3" s="14"/>
      <c r="I3" s="2"/>
      <c r="J3" s="2"/>
      <c r="K3" s="2"/>
      <c r="L3" s="63"/>
    </row>
    <row r="4" spans="1:15" ht="19.5" customHeight="1" x14ac:dyDescent="0.35">
      <c r="A4" s="2" t="s">
        <v>15</v>
      </c>
      <c r="B4" s="11">
        <v>0.76</v>
      </c>
      <c r="C4" s="10" t="s">
        <v>20</v>
      </c>
      <c r="D4" s="70">
        <f>O14</f>
        <v>121.46666666666665</v>
      </c>
      <c r="E4" s="186" t="s">
        <v>1</v>
      </c>
      <c r="F4" s="187"/>
      <c r="G4" s="42" t="s">
        <v>140</v>
      </c>
      <c r="H4" s="60"/>
      <c r="I4" s="43"/>
      <c r="J4" s="43"/>
      <c r="K4" s="43"/>
      <c r="L4" s="66"/>
    </row>
    <row r="5" spans="1:15" ht="19.5" customHeight="1" x14ac:dyDescent="0.35">
      <c r="A5" s="2" t="s">
        <v>17</v>
      </c>
      <c r="B5" s="11">
        <v>0.02</v>
      </c>
      <c r="C5" s="10" t="s">
        <v>21</v>
      </c>
      <c r="D5" s="2"/>
      <c r="E5" s="194" t="s">
        <v>2</v>
      </c>
      <c r="F5" s="195"/>
      <c r="G5" s="188" t="s">
        <v>141</v>
      </c>
      <c r="H5" s="189"/>
      <c r="I5" s="189"/>
      <c r="J5" s="189"/>
      <c r="K5" s="189"/>
      <c r="L5" s="190"/>
    </row>
    <row r="6" spans="1:15" ht="19.5" customHeight="1" x14ac:dyDescent="0.35">
      <c r="A6" s="2"/>
      <c r="B6" s="11"/>
      <c r="C6" s="10" t="s">
        <v>22</v>
      </c>
      <c r="D6" s="12"/>
      <c r="E6" s="196"/>
      <c r="F6" s="197"/>
      <c r="G6" s="191"/>
      <c r="H6" s="192"/>
      <c r="I6" s="192"/>
      <c r="J6" s="192"/>
      <c r="K6" s="192"/>
      <c r="L6" s="193"/>
    </row>
    <row r="7" spans="1:15" ht="19.5" customHeight="1" x14ac:dyDescent="0.35">
      <c r="A7" s="2"/>
      <c r="B7" s="12"/>
      <c r="C7" s="10" t="s">
        <v>23</v>
      </c>
      <c r="D7" s="2"/>
      <c r="E7" s="186" t="s">
        <v>3</v>
      </c>
      <c r="F7" s="187"/>
      <c r="G7" s="44" t="s">
        <v>173</v>
      </c>
      <c r="H7" s="14"/>
      <c r="I7" s="44"/>
      <c r="J7" s="44"/>
      <c r="K7" s="44"/>
      <c r="L7" s="67"/>
    </row>
    <row r="8" spans="1:15" ht="19.5" hidden="1" customHeight="1" x14ac:dyDescent="0.35">
      <c r="A8" s="2"/>
      <c r="B8" s="12"/>
      <c r="C8" s="10"/>
      <c r="D8" s="2"/>
      <c r="E8" s="2"/>
      <c r="F8" s="2"/>
      <c r="G8" s="44"/>
      <c r="H8" s="14"/>
      <c r="I8" s="8"/>
      <c r="J8" s="4">
        <v>40817</v>
      </c>
      <c r="K8" s="5">
        <v>157</v>
      </c>
      <c r="L8" s="5">
        <f>K11/3</f>
        <v>0</v>
      </c>
    </row>
    <row r="9" spans="1:15" ht="19.5" hidden="1" customHeight="1" x14ac:dyDescent="0.35">
      <c r="A9" s="2"/>
      <c r="B9" s="12"/>
      <c r="C9" s="10"/>
      <c r="D9" s="2"/>
      <c r="E9" s="2"/>
      <c r="F9" s="2"/>
      <c r="G9" s="44"/>
      <c r="H9" s="14"/>
      <c r="I9" s="8"/>
      <c r="J9" s="4">
        <v>40848</v>
      </c>
      <c r="K9" s="5">
        <v>157.4</v>
      </c>
      <c r="L9" s="8"/>
    </row>
    <row r="10" spans="1:15" ht="19.5" hidden="1" customHeight="1" x14ac:dyDescent="0.35">
      <c r="A10" s="2"/>
      <c r="B10" s="12"/>
      <c r="C10" s="10"/>
      <c r="D10" s="2"/>
      <c r="E10" s="2"/>
      <c r="F10" s="2"/>
      <c r="G10" s="44"/>
      <c r="H10" s="14"/>
      <c r="I10" s="8"/>
      <c r="J10" s="4">
        <v>40878</v>
      </c>
      <c r="K10" s="5">
        <v>157.30000000000001</v>
      </c>
      <c r="L10" s="8"/>
    </row>
    <row r="11" spans="1:15" ht="19.5" customHeight="1" x14ac:dyDescent="0.35">
      <c r="A11" s="2"/>
      <c r="B11" s="12"/>
      <c r="C11" s="10"/>
      <c r="D11" s="2"/>
      <c r="E11" s="2"/>
      <c r="F11" s="2"/>
      <c r="G11" s="44"/>
      <c r="H11" s="14"/>
      <c r="I11" s="8"/>
      <c r="J11" s="4"/>
      <c r="K11" s="35"/>
      <c r="L11" s="8"/>
    </row>
    <row r="12" spans="1:15" s="1" customFormat="1" ht="125.5" customHeight="1" x14ac:dyDescent="0.35">
      <c r="A12" s="9" t="s">
        <v>13</v>
      </c>
      <c r="B12" s="9" t="s">
        <v>102</v>
      </c>
      <c r="C12" s="9" t="s">
        <v>103</v>
      </c>
      <c r="D12" s="37" t="s">
        <v>108</v>
      </c>
      <c r="E12" s="9" t="s">
        <v>105</v>
      </c>
      <c r="F12" s="9" t="s">
        <v>4</v>
      </c>
      <c r="G12" s="48" t="s">
        <v>110</v>
      </c>
      <c r="H12" s="9" t="s">
        <v>116</v>
      </c>
      <c r="I12" s="37" t="s">
        <v>106</v>
      </c>
      <c r="J12" s="9" t="s">
        <v>107</v>
      </c>
      <c r="K12" s="9" t="s">
        <v>72</v>
      </c>
      <c r="L12" s="37" t="s">
        <v>104</v>
      </c>
    </row>
    <row r="13" spans="1:15" s="13" customFormat="1" ht="25" customHeight="1" x14ac:dyDescent="0.35">
      <c r="A13" s="9">
        <v>1</v>
      </c>
      <c r="B13" s="9">
        <v>2</v>
      </c>
      <c r="C13" s="9">
        <v>3</v>
      </c>
      <c r="D13" s="37">
        <v>4</v>
      </c>
      <c r="E13" s="14">
        <v>5</v>
      </c>
      <c r="F13" s="9">
        <v>6</v>
      </c>
      <c r="G13" s="8">
        <v>7</v>
      </c>
      <c r="H13" s="14">
        <v>8</v>
      </c>
      <c r="I13" s="8">
        <v>9</v>
      </c>
      <c r="J13" s="9">
        <v>10</v>
      </c>
      <c r="K13" s="9">
        <v>11</v>
      </c>
      <c r="L13" s="37">
        <v>12</v>
      </c>
    </row>
    <row r="14" spans="1:15" s="1" customFormat="1" ht="24" customHeight="1" x14ac:dyDescent="0.35">
      <c r="A14" s="4">
        <v>45961</v>
      </c>
      <c r="B14" s="2" t="s">
        <v>14</v>
      </c>
      <c r="C14" s="8">
        <f>Labour!C14</f>
        <v>230495000</v>
      </c>
      <c r="D14" s="8">
        <f>'Material details'!G10</f>
        <v>19375880.552145001</v>
      </c>
      <c r="E14" s="8">
        <f>C14-D14</f>
        <v>211119119.447855</v>
      </c>
      <c r="F14" s="100">
        <v>45870</v>
      </c>
      <c r="G14" s="101">
        <v>155.19999999999999</v>
      </c>
      <c r="H14" s="185">
        <f>AVERAGE(G14:G16)</f>
        <v>155.19999999999999</v>
      </c>
      <c r="I14" s="8">
        <f>E14*0.85</f>
        <v>179451251.53067675</v>
      </c>
      <c r="J14" s="2"/>
      <c r="K14" s="5">
        <v>0.76</v>
      </c>
      <c r="L14" s="8">
        <f>((I14*K14*(H14-$O$14))/$O$14)</f>
        <v>37875836.053038999</v>
      </c>
      <c r="M14" s="114">
        <v>43586</v>
      </c>
      <c r="N14" s="115">
        <v>121.6</v>
      </c>
      <c r="O14" s="201">
        <f>AVERAGE(N14:N16)</f>
        <v>121.46666666666665</v>
      </c>
    </row>
    <row r="15" spans="1:15" s="1" customFormat="1" ht="24" customHeight="1" x14ac:dyDescent="0.35">
      <c r="A15" s="4"/>
      <c r="B15" s="2"/>
      <c r="C15" s="14"/>
      <c r="D15" s="8"/>
      <c r="E15" s="8"/>
      <c r="F15" s="100">
        <v>45901</v>
      </c>
      <c r="G15" s="101">
        <v>155.19999999999999</v>
      </c>
      <c r="H15" s="185"/>
      <c r="I15" s="8"/>
      <c r="J15" s="2"/>
      <c r="K15" s="2"/>
      <c r="L15" s="8"/>
      <c r="M15" s="114">
        <v>43617</v>
      </c>
      <c r="N15" s="115">
        <v>121.5</v>
      </c>
      <c r="O15" s="201"/>
    </row>
    <row r="16" spans="1:15" s="1" customFormat="1" ht="24" customHeight="1" x14ac:dyDescent="0.35">
      <c r="A16" s="2"/>
      <c r="B16" s="2"/>
      <c r="C16" s="14"/>
      <c r="D16" s="8"/>
      <c r="E16" s="8"/>
      <c r="F16" s="100">
        <v>45931</v>
      </c>
      <c r="G16" s="101">
        <v>155.19999999999999</v>
      </c>
      <c r="H16" s="185"/>
      <c r="I16" s="8"/>
      <c r="J16" s="2"/>
      <c r="K16" s="2"/>
      <c r="L16" s="8"/>
      <c r="M16" s="114">
        <v>43647</v>
      </c>
      <c r="N16" s="115">
        <v>121.3</v>
      </c>
      <c r="O16" s="201"/>
    </row>
    <row r="17" spans="1:15" s="1" customFormat="1" ht="24" customHeight="1" x14ac:dyDescent="0.35">
      <c r="A17" s="2"/>
      <c r="B17" s="2"/>
      <c r="C17" s="14"/>
      <c r="D17" s="8"/>
      <c r="E17" s="8"/>
      <c r="F17" s="4"/>
      <c r="G17" s="35">
        <f>SUM(G14:G16)</f>
        <v>465.59999999999997</v>
      </c>
      <c r="H17" s="5"/>
      <c r="I17" s="8"/>
      <c r="J17" s="2"/>
      <c r="K17" s="2"/>
      <c r="L17" s="63"/>
      <c r="M17" s="119"/>
      <c r="N17" s="120">
        <f>SUM(N14:N16)</f>
        <v>364.4</v>
      </c>
      <c r="O17" s="121"/>
    </row>
    <row r="18" spans="1:15" s="1" customFormat="1" ht="24" customHeight="1" x14ac:dyDescent="0.35">
      <c r="A18" s="2"/>
      <c r="B18" s="2"/>
      <c r="C18" s="61">
        <f>SUM(C14:C17)</f>
        <v>230495000</v>
      </c>
      <c r="D18" s="61">
        <f>SUM(D14:D17)</f>
        <v>19375880.552145001</v>
      </c>
      <c r="E18" s="61">
        <f>SUM(E14:E17)</f>
        <v>211119119.447855</v>
      </c>
      <c r="F18" s="2"/>
      <c r="G18" s="35"/>
      <c r="H18" s="5"/>
      <c r="I18" s="61">
        <f>SUM(I14:I17)</f>
        <v>179451251.53067675</v>
      </c>
      <c r="J18" s="2"/>
      <c r="K18" s="2"/>
      <c r="L18" s="61">
        <f>SUM(L14:L17)</f>
        <v>37875836.053038999</v>
      </c>
      <c r="M18"/>
      <c r="N18"/>
      <c r="O18"/>
    </row>
    <row r="19" spans="1:15" s="1" customFormat="1" x14ac:dyDescent="0.35">
      <c r="D19" s="39"/>
      <c r="E19" s="13"/>
      <c r="G19" s="49"/>
      <c r="H19" s="13"/>
      <c r="I19" s="39"/>
      <c r="L19" s="68"/>
    </row>
  </sheetData>
  <mergeCells count="10">
    <mergeCell ref="A1:F1"/>
    <mergeCell ref="G1:H1"/>
    <mergeCell ref="O14:O16"/>
    <mergeCell ref="H14:H16"/>
    <mergeCell ref="E7:F7"/>
    <mergeCell ref="E3:F3"/>
    <mergeCell ref="E4:F4"/>
    <mergeCell ref="E5:F6"/>
    <mergeCell ref="G5:L6"/>
    <mergeCell ref="A2:B2"/>
  </mergeCells>
  <pageMargins left="0.38" right="0.26" top="0.86" bottom="0.24" header="0.3" footer="0.22"/>
  <pageSetup paperSize="9" scale="91" fitToHeight="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B050"/>
    <pageSetUpPr fitToPage="1"/>
  </sheetPr>
  <dimension ref="A1:O16"/>
  <sheetViews>
    <sheetView view="pageBreakPreview" zoomScaleSheetLayoutView="100" workbookViewId="0">
      <selection activeCell="N9" sqref="N9"/>
    </sheetView>
  </sheetViews>
  <sheetFormatPr defaultRowHeight="15.5" x14ac:dyDescent="0.35"/>
  <cols>
    <col min="1" max="1" width="10.75" bestFit="1" customWidth="1"/>
    <col min="2" max="2" width="14" customWidth="1"/>
    <col min="3" max="3" width="19.25" customWidth="1"/>
    <col min="4" max="4" width="12.83203125" style="40" customWidth="1"/>
    <col min="5" max="5" width="11.25" style="13" customWidth="1"/>
    <col min="6" max="6" width="11.75" customWidth="1"/>
    <col min="7" max="7" width="10.75" style="50" customWidth="1"/>
    <col min="8" max="8" width="9.33203125" style="13" bestFit="1" customWidth="1"/>
    <col min="9" max="9" width="9.83203125" style="13" customWidth="1"/>
    <col min="11" max="11" width="8.08203125" customWidth="1"/>
    <col min="12" max="12" width="15.25" style="13" customWidth="1"/>
  </cols>
  <sheetData>
    <row r="1" spans="1:15" ht="23.25" customHeight="1" x14ac:dyDescent="0.35">
      <c r="A1" s="184" t="s">
        <v>11</v>
      </c>
      <c r="B1" s="184"/>
      <c r="C1" s="184"/>
      <c r="D1" s="184"/>
      <c r="E1" s="184"/>
      <c r="F1" s="184"/>
      <c r="G1" s="97" t="s">
        <v>134</v>
      </c>
      <c r="H1" s="97"/>
      <c r="I1" s="97"/>
      <c r="J1" s="97"/>
      <c r="K1" s="97"/>
      <c r="L1" s="97"/>
    </row>
    <row r="2" spans="1:15" ht="29.25" customHeight="1" x14ac:dyDescent="0.35">
      <c r="A2" s="202" t="s">
        <v>12</v>
      </c>
      <c r="B2" s="203"/>
      <c r="C2" s="14" t="s">
        <v>18</v>
      </c>
      <c r="D2" s="14"/>
      <c r="E2" s="96"/>
      <c r="F2" s="60" t="s">
        <v>24</v>
      </c>
      <c r="G2" s="46"/>
      <c r="H2" s="60" t="s">
        <v>138</v>
      </c>
      <c r="I2" s="99"/>
      <c r="J2" s="60" t="s">
        <v>25</v>
      </c>
      <c r="K2" s="60"/>
      <c r="L2" s="65" t="s">
        <v>139</v>
      </c>
    </row>
    <row r="3" spans="1:15" ht="19.5" customHeight="1" x14ac:dyDescent="0.35">
      <c r="A3" s="2" t="s">
        <v>16</v>
      </c>
      <c r="B3" s="11">
        <v>0.22</v>
      </c>
      <c r="C3" s="10" t="s">
        <v>19</v>
      </c>
      <c r="D3" s="36"/>
      <c r="E3" s="186" t="s">
        <v>0</v>
      </c>
      <c r="F3" s="187"/>
      <c r="G3" s="47"/>
      <c r="H3" s="14"/>
      <c r="I3" s="2"/>
      <c r="J3" s="2"/>
      <c r="K3" s="2"/>
      <c r="L3" s="63"/>
    </row>
    <row r="4" spans="1:15" ht="19.5" customHeight="1" x14ac:dyDescent="0.35">
      <c r="A4" s="2" t="s">
        <v>15</v>
      </c>
      <c r="B4" s="11">
        <v>0.76</v>
      </c>
      <c r="C4" s="10" t="s">
        <v>20</v>
      </c>
      <c r="D4" s="36"/>
      <c r="E4" s="186" t="s">
        <v>1</v>
      </c>
      <c r="F4" s="187"/>
      <c r="G4" s="42" t="s">
        <v>140</v>
      </c>
      <c r="H4" s="60"/>
      <c r="I4" s="43"/>
      <c r="J4" s="43"/>
      <c r="K4" s="43"/>
      <c r="L4" s="66"/>
    </row>
    <row r="5" spans="1:15" ht="19.5" customHeight="1" x14ac:dyDescent="0.35">
      <c r="A5" s="2" t="s">
        <v>17</v>
      </c>
      <c r="B5" s="11">
        <v>0.02</v>
      </c>
      <c r="C5" s="10" t="s">
        <v>21</v>
      </c>
      <c r="D5" s="5">
        <f>O11</f>
        <v>67.570000000000007</v>
      </c>
      <c r="E5" s="194" t="s">
        <v>2</v>
      </c>
      <c r="F5" s="195"/>
      <c r="G5" s="188" t="s">
        <v>141</v>
      </c>
      <c r="H5" s="189"/>
      <c r="I5" s="189"/>
      <c r="J5" s="189"/>
      <c r="K5" s="189"/>
      <c r="L5" s="190"/>
    </row>
    <row r="6" spans="1:15" ht="16.5" customHeight="1" x14ac:dyDescent="0.35">
      <c r="A6" s="2"/>
      <c r="B6" s="11"/>
      <c r="C6" s="10" t="s">
        <v>22</v>
      </c>
      <c r="D6" s="12"/>
      <c r="E6" s="196"/>
      <c r="F6" s="197"/>
      <c r="G6" s="191"/>
      <c r="H6" s="192"/>
      <c r="I6" s="192"/>
      <c r="J6" s="192"/>
      <c r="K6" s="192"/>
      <c r="L6" s="193"/>
    </row>
    <row r="7" spans="1:15" ht="19.5" customHeight="1" x14ac:dyDescent="0.35">
      <c r="A7" s="2"/>
      <c r="B7" s="12"/>
      <c r="C7" s="10" t="s">
        <v>23</v>
      </c>
      <c r="D7" s="2"/>
      <c r="E7" s="186" t="s">
        <v>3</v>
      </c>
      <c r="F7" s="187"/>
      <c r="G7" s="44" t="s">
        <v>173</v>
      </c>
      <c r="H7" s="14"/>
      <c r="I7" s="44"/>
      <c r="J7" s="44"/>
      <c r="K7" s="44"/>
      <c r="L7" s="67"/>
    </row>
    <row r="8" spans="1:15" ht="18" customHeight="1" x14ac:dyDescent="0.35">
      <c r="A8" s="2"/>
      <c r="B8" s="12"/>
      <c r="C8" s="10"/>
      <c r="D8" s="2"/>
      <c r="E8" s="2"/>
      <c r="F8" s="2"/>
      <c r="G8" s="44"/>
      <c r="H8" s="14"/>
      <c r="I8" s="14"/>
      <c r="J8" s="4"/>
      <c r="K8" s="35"/>
      <c r="L8" s="5"/>
    </row>
    <row r="9" spans="1:15" s="1" customFormat="1" ht="123.75" customHeight="1" x14ac:dyDescent="0.35">
      <c r="A9" s="9" t="s">
        <v>13</v>
      </c>
      <c r="B9" s="9" t="s">
        <v>102</v>
      </c>
      <c r="C9" s="9" t="s">
        <v>103</v>
      </c>
      <c r="D9" s="37" t="s">
        <v>108</v>
      </c>
      <c r="E9" s="9" t="s">
        <v>105</v>
      </c>
      <c r="F9" s="9" t="s">
        <v>4</v>
      </c>
      <c r="G9" s="48" t="s">
        <v>111</v>
      </c>
      <c r="H9" s="9" t="s">
        <v>117</v>
      </c>
      <c r="I9" s="37" t="s">
        <v>106</v>
      </c>
      <c r="J9" s="9" t="s">
        <v>107</v>
      </c>
      <c r="K9" s="9" t="s">
        <v>64</v>
      </c>
      <c r="L9" s="9" t="s">
        <v>114</v>
      </c>
    </row>
    <row r="10" spans="1:15" s="13" customFormat="1" ht="25" customHeight="1" x14ac:dyDescent="0.35">
      <c r="A10" s="9">
        <v>1</v>
      </c>
      <c r="B10" s="9">
        <v>2</v>
      </c>
      <c r="C10" s="9">
        <v>3</v>
      </c>
      <c r="D10" s="37">
        <v>4</v>
      </c>
      <c r="E10" s="14">
        <v>5</v>
      </c>
      <c r="F10" s="9">
        <v>6</v>
      </c>
      <c r="G10" s="8">
        <v>7</v>
      </c>
      <c r="H10" s="14">
        <v>8</v>
      </c>
      <c r="I10" s="14">
        <v>9</v>
      </c>
      <c r="J10" s="9">
        <v>10</v>
      </c>
      <c r="K10" s="9">
        <v>11</v>
      </c>
      <c r="L10" s="14">
        <v>12</v>
      </c>
    </row>
    <row r="11" spans="1:15" s="1" customFormat="1" ht="23.5" customHeight="1" x14ac:dyDescent="0.35">
      <c r="A11" s="4">
        <v>45961</v>
      </c>
      <c r="B11" s="2" t="s">
        <v>14</v>
      </c>
      <c r="C11" s="8">
        <f>Labour!C14</f>
        <v>230495000</v>
      </c>
      <c r="D11" s="8">
        <f>'Material details'!G10</f>
        <v>19375880.552145001</v>
      </c>
      <c r="E11" s="8">
        <f>C11-D11</f>
        <v>211119119.447855</v>
      </c>
      <c r="F11" s="100">
        <v>45870</v>
      </c>
      <c r="G11" s="101">
        <v>90.34</v>
      </c>
      <c r="H11" s="185">
        <f>AVERAGE(G11:G13)</f>
        <v>90.339999999999989</v>
      </c>
      <c r="I11" s="8">
        <f>E11*0.85</f>
        <v>179451251.53067675</v>
      </c>
      <c r="J11" s="2"/>
      <c r="K11" s="64">
        <v>0.02</v>
      </c>
      <c r="L11" s="8">
        <f>((I11*K11*(H11-$O$11))/$O$11)</f>
        <v>1209443.5392492246</v>
      </c>
      <c r="M11" s="114">
        <v>43586</v>
      </c>
      <c r="N11" s="101">
        <v>68.52</v>
      </c>
      <c r="O11" s="185">
        <f>AVERAGE(N11:N13)</f>
        <v>67.570000000000007</v>
      </c>
    </row>
    <row r="12" spans="1:15" s="1" customFormat="1" ht="23.5" customHeight="1" x14ac:dyDescent="0.35">
      <c r="A12" s="4"/>
      <c r="B12" s="2"/>
      <c r="C12" s="14"/>
      <c r="D12" s="8"/>
      <c r="E12" s="8"/>
      <c r="F12" s="100">
        <v>45901</v>
      </c>
      <c r="G12" s="101">
        <v>90.34</v>
      </c>
      <c r="H12" s="185"/>
      <c r="I12" s="14"/>
      <c r="J12" s="2"/>
      <c r="K12" s="2"/>
      <c r="L12" s="8"/>
      <c r="M12" s="114">
        <v>43617</v>
      </c>
      <c r="N12" s="101">
        <v>67.155000000000001</v>
      </c>
      <c r="O12" s="185"/>
    </row>
    <row r="13" spans="1:15" s="1" customFormat="1" ht="23.5" customHeight="1" x14ac:dyDescent="0.35">
      <c r="A13" s="2"/>
      <c r="B13" s="2"/>
      <c r="C13" s="14"/>
      <c r="D13" s="8"/>
      <c r="E13" s="8"/>
      <c r="F13" s="100">
        <v>45931</v>
      </c>
      <c r="G13" s="101">
        <v>90.34</v>
      </c>
      <c r="H13" s="185"/>
      <c r="I13" s="8"/>
      <c r="J13" s="2"/>
      <c r="K13" s="2"/>
      <c r="L13" s="8"/>
      <c r="M13" s="114">
        <v>43647</v>
      </c>
      <c r="N13" s="101">
        <v>67.034999999999997</v>
      </c>
      <c r="O13" s="185"/>
    </row>
    <row r="14" spans="1:15" s="1" customFormat="1" ht="23.5" customHeight="1" x14ac:dyDescent="0.35">
      <c r="A14" s="2"/>
      <c r="B14" s="2"/>
      <c r="C14" s="14"/>
      <c r="D14" s="8"/>
      <c r="E14" s="8"/>
      <c r="F14" s="4"/>
      <c r="G14" s="35">
        <f>SUM(G11:G13)</f>
        <v>271.02</v>
      </c>
      <c r="H14" s="5"/>
      <c r="I14" s="8"/>
      <c r="J14" s="2"/>
      <c r="K14" s="2"/>
      <c r="L14" s="8"/>
      <c r="M14" s="4"/>
      <c r="N14" s="35">
        <f>SUM(N11:N13)</f>
        <v>202.71</v>
      </c>
      <c r="O14" s="5"/>
    </row>
    <row r="15" spans="1:15" s="1" customFormat="1" ht="23.5" customHeight="1" x14ac:dyDescent="0.35">
      <c r="A15" s="2"/>
      <c r="B15" s="2"/>
      <c r="C15" s="61">
        <f>SUM(C11:C14)</f>
        <v>230495000</v>
      </c>
      <c r="D15" s="61">
        <f>SUM(D11:D14)</f>
        <v>19375880.552145001</v>
      </c>
      <c r="E15" s="61">
        <f>SUM(E11:E14)</f>
        <v>211119119.447855</v>
      </c>
      <c r="F15" s="2"/>
      <c r="G15" s="35"/>
      <c r="H15" s="5"/>
      <c r="I15" s="61">
        <f>SUM(I11:I14)</f>
        <v>179451251.53067675</v>
      </c>
      <c r="J15" s="2"/>
      <c r="K15" s="2"/>
      <c r="L15" s="61">
        <f>SUM(L11:L14)</f>
        <v>1209443.5392492246</v>
      </c>
      <c r="M15"/>
      <c r="N15"/>
      <c r="O15"/>
    </row>
    <row r="16" spans="1:15" s="1" customFormat="1" x14ac:dyDescent="0.35">
      <c r="D16" s="39"/>
      <c r="E16" s="13"/>
      <c r="G16" s="49"/>
      <c r="H16" s="13"/>
      <c r="I16" s="13"/>
      <c r="L16" s="13"/>
    </row>
  </sheetData>
  <mergeCells count="9">
    <mergeCell ref="A1:F1"/>
    <mergeCell ref="O11:O13"/>
    <mergeCell ref="H11:H13"/>
    <mergeCell ref="E7:F7"/>
    <mergeCell ref="G5:L6"/>
    <mergeCell ref="E3:F3"/>
    <mergeCell ref="E4:F4"/>
    <mergeCell ref="E5:F6"/>
    <mergeCell ref="A2:B2"/>
  </mergeCells>
  <pageMargins left="0.32" right="0.19" top="0.75" bottom="0.27" header="0.21" footer="0.3"/>
  <pageSetup paperSize="9" scale="92" fitToHeight="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B050"/>
    <pageSetUpPr fitToPage="1"/>
  </sheetPr>
  <dimension ref="A1:O19"/>
  <sheetViews>
    <sheetView view="pageBreakPreview" zoomScaleSheetLayoutView="100" workbookViewId="0">
      <selection activeCell="O12" sqref="O12"/>
    </sheetView>
  </sheetViews>
  <sheetFormatPr defaultRowHeight="15.5" x14ac:dyDescent="0.35"/>
  <cols>
    <col min="1" max="1" width="10.75" bestFit="1" customWidth="1"/>
    <col min="2" max="2" width="14.83203125" customWidth="1"/>
    <col min="3" max="3" width="19.25" customWidth="1"/>
    <col min="4" max="4" width="12.83203125" style="40" customWidth="1"/>
    <col min="5" max="5" width="11.25" style="13" customWidth="1"/>
    <col min="6" max="6" width="12.58203125" customWidth="1"/>
    <col min="7" max="7" width="10.75" style="50" customWidth="1"/>
    <col min="8" max="8" width="9.33203125" style="13" bestFit="1" customWidth="1"/>
    <col min="11" max="11" width="8.08203125" customWidth="1"/>
    <col min="12" max="12" width="12.5" style="69" customWidth="1"/>
  </cols>
  <sheetData>
    <row r="1" spans="1:15" ht="23.25" customHeight="1" x14ac:dyDescent="0.35">
      <c r="A1" s="113" t="s">
        <v>11</v>
      </c>
      <c r="B1" s="113"/>
      <c r="C1" s="113"/>
      <c r="D1" s="113"/>
      <c r="E1" s="113"/>
      <c r="F1" s="113"/>
      <c r="G1" s="113" t="s">
        <v>135</v>
      </c>
      <c r="H1" s="113"/>
      <c r="I1" s="113"/>
      <c r="J1" s="113"/>
      <c r="K1" s="113"/>
      <c r="L1" s="113"/>
    </row>
    <row r="2" spans="1:15" ht="32.25" customHeight="1" x14ac:dyDescent="0.35">
      <c r="A2" s="202" t="s">
        <v>12</v>
      </c>
      <c r="B2" s="203"/>
      <c r="C2" s="14" t="s">
        <v>18</v>
      </c>
      <c r="D2" s="14"/>
      <c r="E2" s="96"/>
      <c r="F2" s="60" t="s">
        <v>24</v>
      </c>
      <c r="G2" s="46"/>
      <c r="H2" s="60" t="s">
        <v>138</v>
      </c>
      <c r="I2" s="99"/>
      <c r="J2" s="60" t="s">
        <v>25</v>
      </c>
      <c r="K2" s="60"/>
      <c r="L2" s="65" t="s">
        <v>139</v>
      </c>
    </row>
    <row r="3" spans="1:15" ht="19.5" customHeight="1" x14ac:dyDescent="0.35">
      <c r="A3" s="2" t="s">
        <v>16</v>
      </c>
      <c r="B3" s="11">
        <v>0.11</v>
      </c>
      <c r="C3" s="10" t="s">
        <v>19</v>
      </c>
      <c r="D3" s="36"/>
      <c r="E3" s="186" t="s">
        <v>0</v>
      </c>
      <c r="F3" s="187"/>
      <c r="G3" s="47"/>
      <c r="H3" s="14"/>
      <c r="I3" s="2"/>
      <c r="J3" s="2"/>
      <c r="K3" s="2"/>
      <c r="L3" s="63"/>
    </row>
    <row r="4" spans="1:15" ht="19.5" customHeight="1" x14ac:dyDescent="0.35">
      <c r="A4" s="2" t="s">
        <v>15</v>
      </c>
      <c r="B4" s="11">
        <v>0.76</v>
      </c>
      <c r="C4" s="10" t="s">
        <v>20</v>
      </c>
      <c r="D4" s="36"/>
      <c r="E4" s="186" t="s">
        <v>1</v>
      </c>
      <c r="F4" s="187"/>
      <c r="G4" s="42" t="s">
        <v>140</v>
      </c>
      <c r="H4" s="60"/>
      <c r="I4" s="43"/>
      <c r="J4" s="43"/>
      <c r="K4" s="43"/>
      <c r="L4" s="66"/>
    </row>
    <row r="5" spans="1:15" ht="19.5" customHeight="1" x14ac:dyDescent="0.35">
      <c r="A5" s="2" t="s">
        <v>17</v>
      </c>
      <c r="B5" s="11">
        <v>0.13</v>
      </c>
      <c r="C5" s="10" t="s">
        <v>21</v>
      </c>
      <c r="D5" s="36"/>
      <c r="E5" s="194" t="s">
        <v>2</v>
      </c>
      <c r="F5" s="195"/>
      <c r="G5" s="188" t="s">
        <v>141</v>
      </c>
      <c r="H5" s="189"/>
      <c r="I5" s="189"/>
      <c r="J5" s="189"/>
      <c r="K5" s="189"/>
      <c r="L5" s="190"/>
    </row>
    <row r="6" spans="1:15" ht="19.5" customHeight="1" x14ac:dyDescent="0.35">
      <c r="A6" s="2"/>
      <c r="B6" s="11"/>
      <c r="C6" s="10" t="s">
        <v>22</v>
      </c>
      <c r="D6" s="2"/>
      <c r="E6" s="196"/>
      <c r="F6" s="197"/>
      <c r="G6" s="191"/>
      <c r="H6" s="192"/>
      <c r="I6" s="192"/>
      <c r="J6" s="192"/>
      <c r="K6" s="192"/>
      <c r="L6" s="193"/>
    </row>
    <row r="7" spans="1:15" ht="19.5" customHeight="1" x14ac:dyDescent="0.35">
      <c r="A7" s="2"/>
      <c r="B7" s="12"/>
      <c r="C7" s="10" t="s">
        <v>23</v>
      </c>
      <c r="D7" s="70">
        <f>O14</f>
        <v>107.96666666666665</v>
      </c>
      <c r="E7" s="186" t="s">
        <v>3</v>
      </c>
      <c r="F7" s="187"/>
      <c r="G7" s="44" t="s">
        <v>173</v>
      </c>
      <c r="H7" s="14"/>
      <c r="I7" s="44"/>
      <c r="J7" s="44"/>
      <c r="K7" s="44"/>
      <c r="L7" s="67"/>
    </row>
    <row r="8" spans="1:15" ht="18" hidden="1" customHeight="1" x14ac:dyDescent="0.35">
      <c r="A8" s="2"/>
      <c r="B8" s="12"/>
      <c r="C8" s="10"/>
      <c r="D8" s="70"/>
      <c r="E8" s="14"/>
      <c r="F8" s="14"/>
      <c r="G8" s="44"/>
      <c r="H8" s="14"/>
      <c r="I8" s="44"/>
      <c r="J8" s="4"/>
      <c r="K8" s="5"/>
      <c r="L8" s="5"/>
    </row>
    <row r="9" spans="1:15" ht="18" hidden="1" customHeight="1" x14ac:dyDescent="0.35">
      <c r="A9" s="2"/>
      <c r="B9" s="12"/>
      <c r="C9" s="10"/>
      <c r="D9" s="70"/>
      <c r="E9" s="14"/>
      <c r="F9" s="14"/>
      <c r="G9" s="44"/>
      <c r="H9" s="14"/>
      <c r="I9" s="44"/>
      <c r="J9" s="4"/>
      <c r="K9" s="5"/>
      <c r="L9" s="5"/>
    </row>
    <row r="10" spans="1:15" ht="18" hidden="1" customHeight="1" x14ac:dyDescent="0.35">
      <c r="A10" s="2"/>
      <c r="B10" s="12"/>
      <c r="C10" s="10"/>
      <c r="D10" s="70"/>
      <c r="E10" s="14"/>
      <c r="F10" s="14"/>
      <c r="G10" s="44"/>
      <c r="H10" s="14"/>
      <c r="I10" s="44"/>
      <c r="J10" s="4"/>
      <c r="K10" s="5"/>
      <c r="L10" s="5"/>
    </row>
    <row r="11" spans="1:15" ht="18" hidden="1" customHeight="1" x14ac:dyDescent="0.35">
      <c r="A11" s="2"/>
      <c r="B11" s="12"/>
      <c r="C11" s="10"/>
      <c r="D11" s="70"/>
      <c r="E11" s="14"/>
      <c r="F11" s="14"/>
      <c r="G11" s="44"/>
      <c r="H11" s="14"/>
      <c r="I11" s="44"/>
      <c r="J11" s="4"/>
      <c r="K11" s="35"/>
      <c r="L11" s="5"/>
    </row>
    <row r="12" spans="1:15" s="1" customFormat="1" ht="139.5" x14ac:dyDescent="0.35">
      <c r="A12" s="9" t="s">
        <v>13</v>
      </c>
      <c r="B12" s="9" t="s">
        <v>102</v>
      </c>
      <c r="C12" s="9" t="s">
        <v>103</v>
      </c>
      <c r="D12" s="37" t="s">
        <v>108</v>
      </c>
      <c r="E12" s="9" t="s">
        <v>105</v>
      </c>
      <c r="F12" s="9" t="s">
        <v>4</v>
      </c>
      <c r="G12" s="48" t="s">
        <v>112</v>
      </c>
      <c r="H12" s="9" t="s">
        <v>118</v>
      </c>
      <c r="I12" s="37" t="s">
        <v>106</v>
      </c>
      <c r="J12" s="9" t="s">
        <v>107</v>
      </c>
      <c r="K12" s="9"/>
      <c r="L12" s="37" t="s">
        <v>62</v>
      </c>
    </row>
    <row r="13" spans="1:15" s="6" customFormat="1" x14ac:dyDescent="0.35">
      <c r="A13" s="7">
        <v>1</v>
      </c>
      <c r="B13" s="7">
        <v>2</v>
      </c>
      <c r="C13" s="7">
        <v>3</v>
      </c>
      <c r="D13" s="38">
        <v>4</v>
      </c>
      <c r="E13" s="41">
        <v>5</v>
      </c>
      <c r="F13" s="7">
        <v>6</v>
      </c>
      <c r="G13" s="8">
        <v>7</v>
      </c>
      <c r="H13" s="41">
        <v>8</v>
      </c>
      <c r="I13" s="7">
        <v>9</v>
      </c>
      <c r="J13" s="7">
        <v>10</v>
      </c>
      <c r="K13" s="7">
        <v>11</v>
      </c>
      <c r="L13" s="38">
        <v>12</v>
      </c>
    </row>
    <row r="14" spans="1:15" s="1" customFormat="1" ht="22" customHeight="1" x14ac:dyDescent="0.35">
      <c r="A14" s="4">
        <v>45961</v>
      </c>
      <c r="B14" s="2" t="s">
        <v>14</v>
      </c>
      <c r="C14" s="14"/>
      <c r="D14" s="8"/>
      <c r="E14" s="8"/>
      <c r="F14" s="100">
        <v>45870</v>
      </c>
      <c r="G14" s="101">
        <v>135.19999999999999</v>
      </c>
      <c r="H14" s="185">
        <f>AVERAGE(G14:G16)</f>
        <v>135.06666666666663</v>
      </c>
      <c r="I14" s="2"/>
      <c r="J14" s="2"/>
      <c r="K14" s="14"/>
      <c r="L14" s="8">
        <f>((45700*(H14-$O$14))/$O$14)*'Material details'!D8</f>
        <v>2600901.7085520206</v>
      </c>
      <c r="M14" s="114">
        <v>43586</v>
      </c>
      <c r="N14" s="101">
        <v>109.4</v>
      </c>
      <c r="O14" s="185">
        <f>AVERAGE(N14:N16)</f>
        <v>107.96666666666665</v>
      </c>
    </row>
    <row r="15" spans="1:15" s="1" customFormat="1" ht="22" customHeight="1" x14ac:dyDescent="0.35">
      <c r="A15" s="4"/>
      <c r="B15" s="2"/>
      <c r="C15" s="14"/>
      <c r="D15" s="8"/>
      <c r="E15" s="8"/>
      <c r="F15" s="100">
        <v>45901</v>
      </c>
      <c r="G15" s="101">
        <v>135.6</v>
      </c>
      <c r="H15" s="185"/>
      <c r="I15" s="2"/>
      <c r="J15" s="2"/>
      <c r="K15" s="2"/>
      <c r="L15" s="63"/>
      <c r="M15" s="114">
        <v>43617</v>
      </c>
      <c r="N15" s="101">
        <v>108.4</v>
      </c>
      <c r="O15" s="185"/>
    </row>
    <row r="16" spans="1:15" s="1" customFormat="1" ht="22" customHeight="1" x14ac:dyDescent="0.35">
      <c r="A16" s="2"/>
      <c r="B16" s="2"/>
      <c r="C16" s="14"/>
      <c r="D16" s="8"/>
      <c r="E16" s="8"/>
      <c r="F16" s="100">
        <v>45931</v>
      </c>
      <c r="G16" s="101">
        <v>134.4</v>
      </c>
      <c r="H16" s="185"/>
      <c r="I16" s="2"/>
      <c r="J16" s="2"/>
      <c r="K16" s="2"/>
      <c r="L16" s="8"/>
      <c r="M16" s="114">
        <v>43647</v>
      </c>
      <c r="N16" s="101">
        <v>106.1</v>
      </c>
      <c r="O16" s="185"/>
    </row>
    <row r="17" spans="1:15" s="1" customFormat="1" ht="22" customHeight="1" x14ac:dyDescent="0.35">
      <c r="A17" s="2"/>
      <c r="B17" s="2"/>
      <c r="C17" s="14"/>
      <c r="D17" s="8"/>
      <c r="E17" s="8"/>
      <c r="F17" s="4"/>
      <c r="G17" s="35">
        <f>SUM(G14:G16)</f>
        <v>405.19999999999993</v>
      </c>
      <c r="H17" s="5"/>
      <c r="I17" s="2"/>
      <c r="J17" s="2"/>
      <c r="K17" s="2"/>
      <c r="L17" s="63"/>
      <c r="M17" s="4"/>
      <c r="N17" s="35">
        <f>SUM(N14:N16)</f>
        <v>323.89999999999998</v>
      </c>
      <c r="O17" s="5"/>
    </row>
    <row r="18" spans="1:15" s="1" customFormat="1" ht="22" customHeight="1" x14ac:dyDescent="0.35">
      <c r="A18" s="2"/>
      <c r="B18" s="2"/>
      <c r="C18" s="61"/>
      <c r="D18" s="61"/>
      <c r="E18" s="61"/>
      <c r="F18" s="2"/>
      <c r="G18" s="47"/>
      <c r="H18" s="14"/>
      <c r="I18" s="61"/>
      <c r="J18" s="2"/>
      <c r="K18" s="2"/>
      <c r="L18" s="61">
        <f>SUM(L14:L17)</f>
        <v>2600901.7085520206</v>
      </c>
    </row>
    <row r="19" spans="1:15" s="1" customFormat="1" x14ac:dyDescent="0.35">
      <c r="D19" s="39"/>
      <c r="E19" s="13"/>
      <c r="G19" s="49"/>
      <c r="H19" s="13"/>
      <c r="L19" s="68"/>
    </row>
  </sheetData>
  <mergeCells count="8">
    <mergeCell ref="O14:O16"/>
    <mergeCell ref="H14:H16"/>
    <mergeCell ref="E7:F7"/>
    <mergeCell ref="A2:B2"/>
    <mergeCell ref="G5:L6"/>
    <mergeCell ref="E3:F3"/>
    <mergeCell ref="E4:F4"/>
    <mergeCell ref="E5:F6"/>
  </mergeCells>
  <pageMargins left="0.31496062992125984" right="0.31" top="0.91" bottom="0.35433070866141736" header="0.31496062992125984" footer="0.35433070866141736"/>
  <pageSetup paperSize="9" scale="93" fitToHeight="4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50"/>
    <pageSetUpPr fitToPage="1"/>
  </sheetPr>
  <dimension ref="A1:O14"/>
  <sheetViews>
    <sheetView view="pageBreakPreview" zoomScaleSheetLayoutView="100" workbookViewId="0">
      <selection activeCell="A10" sqref="A10"/>
    </sheetView>
  </sheetViews>
  <sheetFormatPr defaultRowHeight="15.5" x14ac:dyDescent="0.35"/>
  <cols>
    <col min="1" max="1" width="10.75" bestFit="1" customWidth="1"/>
    <col min="2" max="2" width="14" customWidth="1"/>
    <col min="3" max="3" width="19.25" customWidth="1"/>
    <col min="4" max="4" width="12.83203125" style="40" customWidth="1"/>
    <col min="5" max="5" width="11.25" style="13" customWidth="1"/>
    <col min="6" max="6" width="12.58203125" customWidth="1"/>
    <col min="7" max="7" width="10.75" style="50" customWidth="1"/>
    <col min="8" max="8" width="9.33203125" style="13" bestFit="1" customWidth="1"/>
    <col min="9" max="9" width="9.83203125" customWidth="1"/>
    <col min="11" max="11" width="8.08203125" customWidth="1"/>
    <col min="12" max="12" width="15.25" customWidth="1"/>
  </cols>
  <sheetData>
    <row r="1" spans="1:15" ht="23.25" customHeight="1" x14ac:dyDescent="0.35">
      <c r="A1" s="113" t="s">
        <v>11</v>
      </c>
      <c r="B1" s="113"/>
      <c r="C1" s="113"/>
      <c r="D1" s="113"/>
      <c r="E1" s="113"/>
      <c r="F1" s="113"/>
      <c r="G1" s="113" t="s">
        <v>121</v>
      </c>
      <c r="H1" s="113"/>
      <c r="I1" s="113"/>
      <c r="J1" s="113"/>
      <c r="K1" s="113"/>
      <c r="L1" s="113"/>
    </row>
    <row r="2" spans="1:15" ht="32.25" customHeight="1" x14ac:dyDescent="0.35">
      <c r="A2" s="202" t="s">
        <v>12</v>
      </c>
      <c r="B2" s="203"/>
      <c r="C2" s="14" t="s">
        <v>18</v>
      </c>
      <c r="D2" s="14"/>
      <c r="E2" s="96"/>
      <c r="F2" s="60" t="s">
        <v>24</v>
      </c>
      <c r="G2" s="46"/>
      <c r="H2" s="60" t="s">
        <v>138</v>
      </c>
      <c r="I2" s="99"/>
      <c r="J2" s="60" t="s">
        <v>25</v>
      </c>
      <c r="K2" s="60"/>
      <c r="L2" s="65" t="s">
        <v>139</v>
      </c>
    </row>
    <row r="3" spans="1:15" ht="19.5" customHeight="1" x14ac:dyDescent="0.35">
      <c r="A3" s="2" t="s">
        <v>16</v>
      </c>
      <c r="B3" s="11">
        <v>0.11</v>
      </c>
      <c r="C3" s="10" t="s">
        <v>19</v>
      </c>
      <c r="D3" s="36"/>
      <c r="E3" s="186" t="s">
        <v>0</v>
      </c>
      <c r="F3" s="187"/>
      <c r="G3" s="47"/>
      <c r="H3" s="14"/>
      <c r="I3" s="2"/>
      <c r="J3" s="2"/>
      <c r="K3" s="2"/>
      <c r="L3" s="63"/>
    </row>
    <row r="4" spans="1:15" ht="19.5" customHeight="1" x14ac:dyDescent="0.35">
      <c r="A4" s="2" t="s">
        <v>15</v>
      </c>
      <c r="B4" s="11">
        <v>0.76</v>
      </c>
      <c r="C4" s="10" t="s">
        <v>20</v>
      </c>
      <c r="D4" s="36"/>
      <c r="E4" s="186" t="s">
        <v>1</v>
      </c>
      <c r="F4" s="187"/>
      <c r="G4" s="42" t="s">
        <v>140</v>
      </c>
      <c r="H4" s="60"/>
      <c r="I4" s="43"/>
      <c r="J4" s="43"/>
      <c r="K4" s="43"/>
      <c r="L4" s="66"/>
    </row>
    <row r="5" spans="1:15" ht="19.5" customHeight="1" x14ac:dyDescent="0.35">
      <c r="A5" s="2" t="s">
        <v>17</v>
      </c>
      <c r="B5" s="11">
        <v>0.13</v>
      </c>
      <c r="C5" s="10" t="s">
        <v>21</v>
      </c>
      <c r="D5" s="2"/>
      <c r="E5" s="194" t="s">
        <v>2</v>
      </c>
      <c r="F5" s="195"/>
      <c r="G5" s="188" t="s">
        <v>141</v>
      </c>
      <c r="H5" s="189"/>
      <c r="I5" s="189"/>
      <c r="J5" s="189"/>
      <c r="K5" s="189"/>
      <c r="L5" s="190"/>
    </row>
    <row r="6" spans="1:15" ht="19.5" customHeight="1" x14ac:dyDescent="0.35">
      <c r="A6" s="2"/>
      <c r="B6" s="11"/>
      <c r="C6" s="10" t="s">
        <v>22</v>
      </c>
      <c r="D6" s="12">
        <f>O10</f>
        <v>122.09999999999998</v>
      </c>
      <c r="E6" s="196"/>
      <c r="F6" s="197"/>
      <c r="G6" s="191"/>
      <c r="H6" s="192"/>
      <c r="I6" s="192"/>
      <c r="J6" s="192"/>
      <c r="K6" s="192"/>
      <c r="L6" s="193"/>
    </row>
    <row r="7" spans="1:15" ht="19.5" customHeight="1" x14ac:dyDescent="0.35">
      <c r="A7" s="2"/>
      <c r="B7" s="12"/>
      <c r="C7" s="10" t="s">
        <v>23</v>
      </c>
      <c r="D7" s="2"/>
      <c r="E7" s="186" t="s">
        <v>3</v>
      </c>
      <c r="F7" s="187"/>
      <c r="G7" s="44" t="s">
        <v>173</v>
      </c>
      <c r="H7" s="14"/>
      <c r="I7" s="44"/>
      <c r="J7" s="44"/>
      <c r="K7" s="44"/>
      <c r="L7" s="67"/>
    </row>
    <row r="8" spans="1:15" s="1" customFormat="1" ht="139.5" x14ac:dyDescent="0.35">
      <c r="A8" s="9" t="s">
        <v>13</v>
      </c>
      <c r="B8" s="9" t="s">
        <v>102</v>
      </c>
      <c r="C8" s="9" t="s">
        <v>103</v>
      </c>
      <c r="D8" s="37" t="s">
        <v>108</v>
      </c>
      <c r="E8" s="9" t="s">
        <v>105</v>
      </c>
      <c r="F8" s="9" t="s">
        <v>4</v>
      </c>
      <c r="G8" s="48" t="s">
        <v>59</v>
      </c>
      <c r="H8" s="9" t="s">
        <v>60</v>
      </c>
      <c r="I8" s="37" t="s">
        <v>106</v>
      </c>
      <c r="J8" s="9" t="s">
        <v>107</v>
      </c>
      <c r="K8" s="9"/>
      <c r="L8" s="9" t="s">
        <v>61</v>
      </c>
    </row>
    <row r="9" spans="1:15" s="13" customFormat="1" ht="25" customHeight="1" x14ac:dyDescent="0.35">
      <c r="A9" s="9">
        <v>1</v>
      </c>
      <c r="B9" s="9">
        <v>2</v>
      </c>
      <c r="C9" s="9">
        <v>3</v>
      </c>
      <c r="D9" s="37">
        <v>4</v>
      </c>
      <c r="E9" s="14">
        <v>5</v>
      </c>
      <c r="F9" s="9">
        <v>6</v>
      </c>
      <c r="G9" s="8">
        <v>7</v>
      </c>
      <c r="H9" s="14">
        <v>8</v>
      </c>
      <c r="I9" s="9">
        <v>9</v>
      </c>
      <c r="J9" s="9">
        <v>10</v>
      </c>
      <c r="K9" s="9">
        <v>11</v>
      </c>
      <c r="L9" s="9">
        <v>12</v>
      </c>
    </row>
    <row r="10" spans="1:15" s="1" customFormat="1" ht="25" customHeight="1" x14ac:dyDescent="0.35">
      <c r="A10" s="4">
        <v>45961</v>
      </c>
      <c r="B10" s="2" t="s">
        <v>14</v>
      </c>
      <c r="C10" s="14"/>
      <c r="D10" s="8"/>
      <c r="E10" s="8"/>
      <c r="F10" s="100">
        <v>45870</v>
      </c>
      <c r="G10" s="101">
        <v>130.69999999999999</v>
      </c>
      <c r="H10" s="185">
        <f>AVERAGE(G10:G12)</f>
        <v>129.73333333333332</v>
      </c>
      <c r="I10" s="2"/>
      <c r="J10" s="2"/>
      <c r="K10" s="14"/>
      <c r="L10" s="8">
        <f>((5500*(H10-$O$10))/$O$10)*'Material details'!D7</f>
        <v>544955.15632905473</v>
      </c>
      <c r="M10" s="114">
        <v>43586</v>
      </c>
      <c r="N10" s="115">
        <v>123.2</v>
      </c>
      <c r="O10" s="185">
        <f>AVERAGE(N10:N12)</f>
        <v>122.09999999999998</v>
      </c>
    </row>
    <row r="11" spans="1:15" s="1" customFormat="1" ht="25" customHeight="1" x14ac:dyDescent="0.35">
      <c r="A11" s="4"/>
      <c r="B11" s="2"/>
      <c r="C11" s="14"/>
      <c r="D11" s="8"/>
      <c r="E11" s="8"/>
      <c r="F11" s="100">
        <v>45901</v>
      </c>
      <c r="G11" s="101">
        <v>130</v>
      </c>
      <c r="H11" s="185"/>
      <c r="I11" s="2"/>
      <c r="J11" s="2"/>
      <c r="K11" s="2"/>
      <c r="L11" s="8"/>
      <c r="M11" s="114">
        <v>43617</v>
      </c>
      <c r="N11" s="115">
        <v>122.5</v>
      </c>
      <c r="O11" s="185"/>
    </row>
    <row r="12" spans="1:15" s="1" customFormat="1" ht="25" customHeight="1" x14ac:dyDescent="0.35">
      <c r="A12" s="2"/>
      <c r="B12" s="2"/>
      <c r="C12" s="14"/>
      <c r="D12" s="8"/>
      <c r="E12" s="8"/>
      <c r="F12" s="100">
        <v>45931</v>
      </c>
      <c r="G12" s="101">
        <v>128.5</v>
      </c>
      <c r="H12" s="185"/>
      <c r="I12" s="2"/>
      <c r="J12" s="2"/>
      <c r="K12" s="2"/>
      <c r="L12" s="8"/>
      <c r="M12" s="114">
        <v>43647</v>
      </c>
      <c r="N12" s="115">
        <v>120.6</v>
      </c>
      <c r="O12" s="185"/>
    </row>
    <row r="13" spans="1:15" s="1" customFormat="1" ht="25" customHeight="1" x14ac:dyDescent="0.35">
      <c r="A13" s="2"/>
      <c r="B13" s="2"/>
      <c r="C13" s="14"/>
      <c r="D13" s="8"/>
      <c r="E13" s="8"/>
      <c r="F13" s="4"/>
      <c r="G13" s="35">
        <f>SUM(G10:G12)</f>
        <v>389.2</v>
      </c>
      <c r="H13" s="5"/>
      <c r="I13" s="2"/>
      <c r="J13" s="2"/>
      <c r="K13" s="2"/>
      <c r="L13" s="61">
        <f>SUM(L10:L12)</f>
        <v>544955.15632905473</v>
      </c>
      <c r="M13" s="4"/>
      <c r="N13" s="35">
        <f>SUM(N10:N12)</f>
        <v>366.29999999999995</v>
      </c>
      <c r="O13" s="5"/>
    </row>
    <row r="14" spans="1:15" s="1" customFormat="1" ht="23.15" customHeight="1" x14ac:dyDescent="0.35">
      <c r="D14" s="39"/>
      <c r="E14" s="13"/>
      <c r="G14" s="49"/>
      <c r="H14" s="13"/>
    </row>
  </sheetData>
  <mergeCells count="8">
    <mergeCell ref="O10:O12"/>
    <mergeCell ref="H10:H12"/>
    <mergeCell ref="E7:F7"/>
    <mergeCell ref="A2:B2"/>
    <mergeCell ref="G5:L6"/>
    <mergeCell ref="E3:F3"/>
    <mergeCell ref="E4:F4"/>
    <mergeCell ref="E5:F6"/>
  </mergeCells>
  <pageMargins left="0.27559055118110237" right="0.35433070866141736" top="0.82" bottom="0.55118110236220474" header="0.31496062992125984" footer="0.59055118110236227"/>
  <pageSetup paperSize="9" scale="91" fitToHeight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B050"/>
    <pageSetUpPr fitToPage="1"/>
  </sheetPr>
  <dimension ref="A1:J13"/>
  <sheetViews>
    <sheetView view="pageBreakPreview" topLeftCell="A2" zoomScaleSheetLayoutView="100" workbookViewId="0">
      <selection activeCell="A7" sqref="A7"/>
    </sheetView>
  </sheetViews>
  <sheetFormatPr defaultColWidth="9" defaultRowHeight="15.5" x14ac:dyDescent="0.35"/>
  <cols>
    <col min="1" max="1" width="10.58203125" style="13" customWidth="1"/>
    <col min="2" max="2" width="14.58203125" style="13" customWidth="1"/>
    <col min="3" max="3" width="12.58203125" style="13" customWidth="1"/>
    <col min="4" max="4" width="12.58203125" style="34" customWidth="1"/>
    <col min="5" max="6" width="12.58203125" style="13" customWidth="1"/>
    <col min="7" max="7" width="14.08203125" style="34" customWidth="1"/>
    <col min="10" max="16384" width="9" style="1"/>
  </cols>
  <sheetData>
    <row r="1" spans="1:10" ht="31.5" hidden="1" customHeight="1" x14ac:dyDescent="0.35">
      <c r="A1" s="205" t="s">
        <v>0</v>
      </c>
      <c r="B1" s="205"/>
      <c r="C1" s="208"/>
      <c r="D1" s="208"/>
      <c r="E1" s="208"/>
      <c r="F1" s="208"/>
      <c r="G1" s="208"/>
    </row>
    <row r="2" spans="1:10" ht="36" customHeight="1" x14ac:dyDescent="0.35">
      <c r="A2" s="206" t="s">
        <v>1</v>
      </c>
      <c r="B2" s="206"/>
      <c r="C2" s="209" t="s">
        <v>140</v>
      </c>
      <c r="D2" s="209"/>
      <c r="E2" s="209"/>
      <c r="F2" s="209"/>
      <c r="G2" s="209"/>
    </row>
    <row r="3" spans="1:10" ht="15.75" hidden="1" customHeight="1" x14ac:dyDescent="0.35">
      <c r="A3" s="207" t="s">
        <v>2</v>
      </c>
      <c r="B3" s="207"/>
      <c r="C3" s="210"/>
      <c r="D3" s="210"/>
      <c r="E3" s="210"/>
      <c r="F3" s="210"/>
      <c r="G3" s="210"/>
    </row>
    <row r="4" spans="1:10" ht="25" hidden="1" customHeight="1" x14ac:dyDescent="0.35">
      <c r="A4" s="207"/>
      <c r="B4" s="207"/>
      <c r="C4" s="210"/>
      <c r="D4" s="210"/>
      <c r="E4" s="210"/>
      <c r="F4" s="210"/>
      <c r="G4" s="210"/>
    </row>
    <row r="5" spans="1:10" s="88" customFormat="1" ht="25" customHeight="1" x14ac:dyDescent="0.35">
      <c r="A5" s="183" t="s">
        <v>58</v>
      </c>
      <c r="B5" s="183"/>
      <c r="C5" s="183"/>
      <c r="D5" s="183"/>
      <c r="E5" s="183"/>
      <c r="F5" s="183"/>
      <c r="G5" s="183"/>
      <c r="H5"/>
      <c r="I5"/>
    </row>
    <row r="6" spans="1:10" s="88" customFormat="1" ht="25" customHeight="1" x14ac:dyDescent="0.35">
      <c r="A6" s="3" t="s">
        <v>4</v>
      </c>
      <c r="B6" s="3" t="s">
        <v>51</v>
      </c>
      <c r="C6" s="3" t="s">
        <v>5</v>
      </c>
      <c r="D6" s="35" t="s">
        <v>8</v>
      </c>
      <c r="E6" s="3" t="s">
        <v>9</v>
      </c>
      <c r="F6" s="3" t="s">
        <v>52</v>
      </c>
      <c r="G6" s="35" t="s">
        <v>10</v>
      </c>
      <c r="H6"/>
      <c r="I6"/>
    </row>
    <row r="7" spans="1:10" ht="25" customHeight="1" x14ac:dyDescent="0.35">
      <c r="A7" s="4">
        <v>45961</v>
      </c>
      <c r="B7" s="14" t="s">
        <v>53</v>
      </c>
      <c r="C7" s="14" t="s">
        <v>6</v>
      </c>
      <c r="D7" s="5">
        <f>+'CEMENT-2'!G19</f>
        <v>1584.89141535</v>
      </c>
      <c r="E7" s="14" t="s">
        <v>54</v>
      </c>
      <c r="F7" s="14">
        <v>4700</v>
      </c>
      <c r="G7" s="5">
        <f>D7*F7</f>
        <v>7448989.6521450002</v>
      </c>
      <c r="H7">
        <f>290*20</f>
        <v>5800</v>
      </c>
      <c r="I7">
        <f>H7-F7</f>
        <v>1100</v>
      </c>
      <c r="J7" s="1">
        <f>D7*I7</f>
        <v>1743380.5568850001</v>
      </c>
    </row>
    <row r="8" spans="1:10" ht="25" customHeight="1" x14ac:dyDescent="0.35">
      <c r="A8" s="4"/>
      <c r="B8" s="14"/>
      <c r="C8" s="14" t="s">
        <v>56</v>
      </c>
      <c r="D8" s="5">
        <f>20.12+28.29+13.85+88.92+75.56</f>
        <v>226.74</v>
      </c>
      <c r="E8" s="14" t="s">
        <v>54</v>
      </c>
      <c r="F8" s="14">
        <v>45785</v>
      </c>
      <c r="G8" s="5">
        <f>D8*F8</f>
        <v>10381290.9</v>
      </c>
      <c r="H8">
        <f>49000</f>
        <v>49000</v>
      </c>
      <c r="I8">
        <f>H8-F8</f>
        <v>3215</v>
      </c>
      <c r="J8" s="1">
        <f>D8*I8</f>
        <v>728969.1</v>
      </c>
    </row>
    <row r="9" spans="1:10" ht="25" customHeight="1" x14ac:dyDescent="0.35">
      <c r="A9" s="4"/>
      <c r="B9" s="14"/>
      <c r="C9" s="14" t="s">
        <v>144</v>
      </c>
      <c r="D9" s="5">
        <v>33.6</v>
      </c>
      <c r="E9" s="14" t="s">
        <v>54</v>
      </c>
      <c r="F9" s="14">
        <v>46000</v>
      </c>
      <c r="G9" s="5">
        <f>D9*F9</f>
        <v>1545600</v>
      </c>
    </row>
    <row r="10" spans="1:10" s="88" customFormat="1" ht="25" customHeight="1" x14ac:dyDescent="0.35">
      <c r="A10" s="89"/>
      <c r="B10" s="3"/>
      <c r="C10" s="3"/>
      <c r="D10" s="90"/>
      <c r="E10" s="204" t="s">
        <v>55</v>
      </c>
      <c r="F10" s="204"/>
      <c r="G10" s="35">
        <f>SUM(G7:G9)</f>
        <v>19375880.552145001</v>
      </c>
      <c r="H10"/>
      <c r="I10"/>
    </row>
    <row r="11" spans="1:10" s="88" customFormat="1" ht="25" customHeight="1" x14ac:dyDescent="0.35">
      <c r="A11" s="3"/>
      <c r="B11" s="3"/>
      <c r="C11" s="3"/>
      <c r="D11" s="90"/>
      <c r="E11" s="204" t="s">
        <v>57</v>
      </c>
      <c r="F11" s="204"/>
      <c r="G11" s="35">
        <f>G10</f>
        <v>19375880.552145001</v>
      </c>
      <c r="H11"/>
      <c r="I11"/>
    </row>
    <row r="12" spans="1:10" ht="25" customHeight="1" x14ac:dyDescent="0.35"/>
    <row r="13" spans="1:10" ht="25" customHeight="1" x14ac:dyDescent="0.35">
      <c r="A13" s="1"/>
      <c r="B13" s="1"/>
      <c r="C13" s="1"/>
      <c r="D13" s="1"/>
      <c r="E13" s="1"/>
      <c r="F13" s="1"/>
      <c r="G13" s="1"/>
      <c r="H13" s="1"/>
      <c r="I13" s="1"/>
    </row>
  </sheetData>
  <mergeCells count="9">
    <mergeCell ref="E10:F10"/>
    <mergeCell ref="E11:F11"/>
    <mergeCell ref="A1:B1"/>
    <mergeCell ref="A2:B2"/>
    <mergeCell ref="A3:B4"/>
    <mergeCell ref="A5:G5"/>
    <mergeCell ref="C1:G1"/>
    <mergeCell ref="C2:G2"/>
    <mergeCell ref="C3:G4"/>
  </mergeCells>
  <printOptions horizontalCentered="1"/>
  <pageMargins left="1.1417322834645669" right="0.43307086614173229" top="0.74803149606299213" bottom="0.86614173228346458" header="0.31496062992125984" footer="0.31496062992125984"/>
  <pageSetup paperSize="9" fitToHeight="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N39"/>
  <sheetViews>
    <sheetView view="pageBreakPreview" topLeftCell="A4" zoomScaleSheetLayoutView="100" workbookViewId="0">
      <selection activeCell="C9" sqref="C9"/>
    </sheetView>
  </sheetViews>
  <sheetFormatPr defaultColWidth="9" defaultRowHeight="15.5" x14ac:dyDescent="0.35"/>
  <cols>
    <col min="1" max="1" width="4.58203125" style="25" customWidth="1"/>
    <col min="2" max="2" width="24.5" style="22" customWidth="1"/>
    <col min="3" max="3" width="13.25" style="26" customWidth="1"/>
    <col min="4" max="4" width="16.08203125" style="25" customWidth="1"/>
    <col min="5" max="5" width="9.5" style="25" customWidth="1"/>
    <col min="6" max="6" width="19.5" style="25" customWidth="1"/>
    <col min="7" max="7" width="20.33203125" style="25" customWidth="1"/>
    <col min="8" max="8" width="9" style="22"/>
    <col min="9" max="9" width="14.83203125" style="22" customWidth="1"/>
    <col min="10" max="16384" width="9" style="22"/>
  </cols>
  <sheetData>
    <row r="1" spans="1:14" s="15" customFormat="1" ht="30" customHeight="1" x14ac:dyDescent="0.35">
      <c r="A1" s="212" t="s">
        <v>26</v>
      </c>
      <c r="B1" s="212"/>
      <c r="C1" s="212"/>
      <c r="D1" s="212"/>
      <c r="E1" s="212"/>
      <c r="F1" s="212"/>
      <c r="G1" s="212"/>
    </row>
    <row r="2" spans="1:14" s="15" customFormat="1" ht="39" customHeight="1" x14ac:dyDescent="0.35">
      <c r="A2" s="216" t="s">
        <v>27</v>
      </c>
      <c r="B2" s="216"/>
      <c r="C2" s="216"/>
      <c r="D2" s="216"/>
      <c r="E2" s="216"/>
      <c r="F2" s="217" t="s">
        <v>69</v>
      </c>
      <c r="G2" s="217"/>
      <c r="I2"/>
      <c r="J2"/>
    </row>
    <row r="3" spans="1:14" s="15" customFormat="1" ht="30" customHeight="1" x14ac:dyDescent="0.35">
      <c r="A3" s="218" t="s">
        <v>28</v>
      </c>
      <c r="B3" s="218"/>
      <c r="C3" s="218"/>
      <c r="D3" s="218"/>
      <c r="E3" s="218"/>
      <c r="F3" s="218" t="s">
        <v>101</v>
      </c>
      <c r="G3" s="218"/>
      <c r="I3"/>
      <c r="J3"/>
    </row>
    <row r="4" spans="1:14" s="16" customFormat="1" ht="32.25" customHeight="1" x14ac:dyDescent="0.35">
      <c r="A4" s="213" t="s">
        <v>29</v>
      </c>
      <c r="B4" s="213" t="s">
        <v>30</v>
      </c>
      <c r="C4" s="214" t="s">
        <v>31</v>
      </c>
      <c r="D4" s="213" t="s">
        <v>32</v>
      </c>
      <c r="E4" s="213" t="s">
        <v>9</v>
      </c>
      <c r="F4" s="87" t="s">
        <v>33</v>
      </c>
      <c r="G4" s="215" t="s">
        <v>34</v>
      </c>
      <c r="I4"/>
      <c r="J4"/>
    </row>
    <row r="5" spans="1:14" s="18" customFormat="1" ht="46.5" x14ac:dyDescent="0.35">
      <c r="A5" s="213"/>
      <c r="B5" s="213"/>
      <c r="C5" s="214"/>
      <c r="D5" s="213"/>
      <c r="E5" s="213"/>
      <c r="F5" s="17" t="s">
        <v>35</v>
      </c>
      <c r="G5" s="215"/>
      <c r="I5"/>
      <c r="J5"/>
    </row>
    <row r="6" spans="1:14" ht="25" customHeight="1" x14ac:dyDescent="0.35">
      <c r="A6" s="19">
        <v>16</v>
      </c>
      <c r="B6" s="20"/>
      <c r="C6" s="5"/>
      <c r="D6" s="21">
        <v>4.05</v>
      </c>
      <c r="E6" s="19" t="s">
        <v>37</v>
      </c>
      <c r="F6" s="85">
        <f>C6*D6</f>
        <v>0</v>
      </c>
      <c r="G6" s="211" t="s">
        <v>38</v>
      </c>
      <c r="I6"/>
      <c r="J6"/>
    </row>
    <row r="7" spans="1:14" ht="25" customHeight="1" x14ac:dyDescent="0.35">
      <c r="A7" s="19">
        <v>17</v>
      </c>
      <c r="B7" s="20"/>
      <c r="C7" s="5"/>
      <c r="D7" s="21">
        <v>3.2</v>
      </c>
      <c r="E7" s="19" t="s">
        <v>37</v>
      </c>
      <c r="F7" s="85">
        <f t="shared" ref="F7:F11" si="0">C7*D7</f>
        <v>0</v>
      </c>
      <c r="G7" s="211"/>
      <c r="I7"/>
      <c r="J7"/>
    </row>
    <row r="8" spans="1:14" ht="25" customHeight="1" x14ac:dyDescent="0.35">
      <c r="A8" s="19">
        <v>18</v>
      </c>
      <c r="B8" s="20"/>
      <c r="C8" s="5"/>
      <c r="D8" s="21">
        <v>6.8</v>
      </c>
      <c r="E8" s="19" t="s">
        <v>37</v>
      </c>
      <c r="F8" s="85">
        <f t="shared" si="0"/>
        <v>0</v>
      </c>
      <c r="G8" s="211"/>
      <c r="I8"/>
      <c r="J8"/>
    </row>
    <row r="9" spans="1:14" ht="25" customHeight="1" x14ac:dyDescent="0.35">
      <c r="A9" s="19">
        <v>19</v>
      </c>
      <c r="B9" s="20"/>
      <c r="C9" s="5"/>
      <c r="D9" s="21">
        <v>6.8</v>
      </c>
      <c r="E9" s="19" t="s">
        <v>37</v>
      </c>
      <c r="F9" s="85">
        <f t="shared" si="0"/>
        <v>0</v>
      </c>
      <c r="G9" s="211"/>
      <c r="I9"/>
      <c r="J9"/>
    </row>
    <row r="10" spans="1:14" ht="25" customHeight="1" x14ac:dyDescent="0.35">
      <c r="A10" s="19">
        <v>20</v>
      </c>
      <c r="B10" s="20"/>
      <c r="C10" s="5"/>
      <c r="D10" s="21">
        <v>6.8</v>
      </c>
      <c r="E10" s="19" t="s">
        <v>37</v>
      </c>
      <c r="F10" s="85">
        <f t="shared" si="0"/>
        <v>0</v>
      </c>
      <c r="G10" s="211"/>
      <c r="I10"/>
      <c r="J10"/>
    </row>
    <row r="11" spans="1:14" ht="25" customHeight="1" x14ac:dyDescent="0.35">
      <c r="A11" s="19">
        <v>32</v>
      </c>
      <c r="B11" s="20"/>
      <c r="C11" s="5"/>
      <c r="D11" s="21">
        <v>1.44</v>
      </c>
      <c r="E11" s="19" t="s">
        <v>37</v>
      </c>
      <c r="F11" s="85">
        <f t="shared" si="0"/>
        <v>0</v>
      </c>
      <c r="G11" s="71"/>
      <c r="I11"/>
      <c r="J11"/>
    </row>
    <row r="12" spans="1:14" s="15" customFormat="1" ht="25" customHeight="1" x14ac:dyDescent="0.35">
      <c r="A12" s="53"/>
      <c r="B12" s="54"/>
      <c r="C12" s="55"/>
      <c r="D12" s="53"/>
      <c r="E12" s="53" t="s">
        <v>7</v>
      </c>
      <c r="F12" s="86">
        <f>SUM(F6:F11)</f>
        <v>0</v>
      </c>
      <c r="G12" s="56">
        <f>(F12*50)/1000</f>
        <v>0</v>
      </c>
      <c r="I12"/>
      <c r="J12"/>
    </row>
    <row r="13" spans="1:14" s="31" customFormat="1" ht="18" customHeight="1" x14ac:dyDescent="0.35">
      <c r="A13" s="29"/>
      <c r="B13" s="30"/>
      <c r="C13" s="32"/>
      <c r="D13" s="29"/>
      <c r="E13" s="29"/>
      <c r="F13" s="33"/>
      <c r="G13" s="82" t="s">
        <v>45</v>
      </c>
      <c r="H13"/>
      <c r="I13"/>
      <c r="J13"/>
      <c r="K13"/>
      <c r="L13"/>
      <c r="M13"/>
      <c r="N13"/>
    </row>
    <row r="14" spans="1:14" ht="25" customHeight="1" x14ac:dyDescent="0.35">
      <c r="F14" s="27"/>
    </row>
    <row r="15" spans="1:14" s="15" customFormat="1" ht="25" customHeight="1" x14ac:dyDescent="0.35">
      <c r="A15" s="18"/>
      <c r="C15" s="23"/>
      <c r="D15" s="18"/>
      <c r="E15" s="18"/>
      <c r="F15" s="24"/>
      <c r="G15" s="18"/>
    </row>
    <row r="16" spans="1:14" s="15" customFormat="1" ht="25" customHeight="1" x14ac:dyDescent="0.35">
      <c r="A16" s="18"/>
      <c r="C16" s="23"/>
      <c r="D16" s="18"/>
      <c r="E16" s="18"/>
      <c r="F16" s="24"/>
      <c r="G16" s="18"/>
    </row>
    <row r="17" spans="1:7" ht="25" customHeight="1" x14ac:dyDescent="0.35"/>
    <row r="18" spans="1:7" ht="25" customHeight="1" x14ac:dyDescent="0.35">
      <c r="A18" s="28"/>
      <c r="B18" s="28"/>
      <c r="C18" s="28"/>
      <c r="D18" s="28"/>
      <c r="E18" s="28"/>
      <c r="F18" s="28"/>
      <c r="G18" s="28"/>
    </row>
    <row r="19" spans="1:7" ht="25" customHeight="1" x14ac:dyDescent="0.35">
      <c r="A19" s="28"/>
      <c r="B19" s="28"/>
      <c r="C19" s="28"/>
      <c r="D19" s="28"/>
      <c r="E19" s="28"/>
      <c r="F19" s="28"/>
      <c r="G19" s="28"/>
    </row>
    <row r="20" spans="1:7" ht="25" customHeight="1" x14ac:dyDescent="0.35">
      <c r="A20" s="28"/>
      <c r="B20" s="28"/>
      <c r="C20" s="28"/>
      <c r="D20" s="28"/>
      <c r="E20" s="28"/>
      <c r="F20" s="28"/>
      <c r="G20" s="28"/>
    </row>
    <row r="21" spans="1:7" ht="25" customHeight="1" x14ac:dyDescent="0.35">
      <c r="A21" s="28"/>
      <c r="B21" s="28"/>
      <c r="C21" s="28"/>
      <c r="D21" s="28"/>
      <c r="E21" s="28"/>
      <c r="F21" s="28"/>
      <c r="G21" s="28"/>
    </row>
    <row r="22" spans="1:7" ht="20.149999999999999" customHeight="1" x14ac:dyDescent="0.35"/>
    <row r="23" spans="1:7" ht="20.149999999999999" customHeight="1" x14ac:dyDescent="0.35"/>
    <row r="24" spans="1:7" ht="20.149999999999999" customHeight="1" x14ac:dyDescent="0.35"/>
    <row r="25" spans="1:7" ht="20.149999999999999" customHeight="1" x14ac:dyDescent="0.35"/>
    <row r="26" spans="1:7" ht="20.149999999999999" customHeight="1" x14ac:dyDescent="0.35"/>
    <row r="27" spans="1:7" ht="20.149999999999999" customHeight="1" x14ac:dyDescent="0.35"/>
    <row r="28" spans="1:7" ht="20.149999999999999" customHeight="1" x14ac:dyDescent="0.35"/>
    <row r="29" spans="1:7" ht="20.149999999999999" customHeight="1" x14ac:dyDescent="0.35"/>
    <row r="30" spans="1:7" ht="20.149999999999999" customHeight="1" x14ac:dyDescent="0.35"/>
    <row r="31" spans="1:7" ht="20.149999999999999" customHeight="1" x14ac:dyDescent="0.35"/>
    <row r="32" spans="1:7" ht="20.149999999999999" customHeight="1" x14ac:dyDescent="0.35"/>
    <row r="33" ht="20.149999999999999" customHeight="1" x14ac:dyDescent="0.35"/>
    <row r="34" ht="20.149999999999999" customHeight="1" x14ac:dyDescent="0.35"/>
    <row r="35" ht="20.149999999999999" customHeight="1" x14ac:dyDescent="0.35"/>
    <row r="36" ht="20.149999999999999" customHeight="1" x14ac:dyDescent="0.35"/>
    <row r="37" ht="20.149999999999999" customHeight="1" x14ac:dyDescent="0.35"/>
    <row r="38" ht="20.149999999999999" customHeight="1" x14ac:dyDescent="0.35"/>
    <row r="39" ht="20.149999999999999" customHeight="1" x14ac:dyDescent="0.35"/>
  </sheetData>
  <mergeCells count="12">
    <mergeCell ref="G6:G10"/>
    <mergeCell ref="A1:G1"/>
    <mergeCell ref="A4:A5"/>
    <mergeCell ref="B4:B5"/>
    <mergeCell ref="C4:C5"/>
    <mergeCell ref="D4:D5"/>
    <mergeCell ref="E4:E5"/>
    <mergeCell ref="G4:G5"/>
    <mergeCell ref="A2:E2"/>
    <mergeCell ref="F2:G2"/>
    <mergeCell ref="A3:E3"/>
    <mergeCell ref="F3:G3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Q29"/>
  <sheetViews>
    <sheetView view="pageBreakPreview" zoomScaleSheetLayoutView="100" workbookViewId="0">
      <selection activeCell="J11" sqref="J11"/>
    </sheetView>
  </sheetViews>
  <sheetFormatPr defaultColWidth="9" defaultRowHeight="15.5" x14ac:dyDescent="0.35"/>
  <cols>
    <col min="1" max="1" width="5" customWidth="1"/>
    <col min="2" max="2" width="24.5" customWidth="1"/>
    <col min="3" max="3" width="10.33203125" customWidth="1"/>
    <col min="4" max="14" width="9" customWidth="1"/>
    <col min="15" max="15" width="10" customWidth="1"/>
  </cols>
  <sheetData>
    <row r="1" spans="1:17" ht="29.25" customHeight="1" x14ac:dyDescent="0.35">
      <c r="A1" s="200" t="s">
        <v>26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</row>
    <row r="2" spans="1:17" s="51" customFormat="1" ht="33" customHeight="1" x14ac:dyDescent="0.35">
      <c r="A2" s="91" t="s">
        <v>83</v>
      </c>
      <c r="B2" s="91" t="s">
        <v>65</v>
      </c>
      <c r="C2" s="92" t="s">
        <v>86</v>
      </c>
      <c r="D2" s="92" t="s">
        <v>87</v>
      </c>
      <c r="E2" s="92" t="s">
        <v>88</v>
      </c>
      <c r="F2" s="92" t="s">
        <v>89</v>
      </c>
      <c r="G2" s="92" t="s">
        <v>90</v>
      </c>
      <c r="H2" s="92" t="s">
        <v>91</v>
      </c>
      <c r="I2" s="92" t="s">
        <v>92</v>
      </c>
      <c r="J2" s="92" t="s">
        <v>93</v>
      </c>
      <c r="K2" s="92" t="s">
        <v>94</v>
      </c>
      <c r="L2" s="92" t="s">
        <v>95</v>
      </c>
      <c r="M2" s="92" t="s">
        <v>96</v>
      </c>
      <c r="N2" s="92" t="s">
        <v>97</v>
      </c>
      <c r="O2" s="92" t="s">
        <v>84</v>
      </c>
    </row>
    <row r="3" spans="1:17" ht="20.149999999999999" customHeight="1" x14ac:dyDescent="0.35">
      <c r="A3" s="74">
        <v>16</v>
      </c>
      <c r="B3" s="75" t="s">
        <v>36</v>
      </c>
      <c r="C3" s="76">
        <v>23.363999999999994</v>
      </c>
      <c r="D3" s="76">
        <v>31.799999999999997</v>
      </c>
      <c r="E3" s="76">
        <v>182.64153824999997</v>
      </c>
      <c r="F3" s="76">
        <v>33.042000000000002</v>
      </c>
      <c r="G3" s="76">
        <v>12.379500000000002</v>
      </c>
      <c r="H3" s="78"/>
      <c r="I3" s="78"/>
      <c r="J3" s="76">
        <v>2.6069999999999998</v>
      </c>
      <c r="K3" s="76"/>
      <c r="L3" s="78"/>
      <c r="M3" s="78"/>
      <c r="N3" s="78"/>
      <c r="O3" s="76">
        <f t="shared" ref="O3:O28" si="0">SUM(C3:N3)</f>
        <v>285.83403824999999</v>
      </c>
    </row>
    <row r="4" spans="1:17" ht="20.149999999999999" customHeight="1" x14ac:dyDescent="0.35">
      <c r="A4" s="74">
        <v>17</v>
      </c>
      <c r="B4" s="75" t="s">
        <v>39</v>
      </c>
      <c r="C4" s="76">
        <v>4.4698199999999995</v>
      </c>
      <c r="D4" s="76"/>
      <c r="E4" s="76">
        <v>12.474495000000006</v>
      </c>
      <c r="F4" s="76">
        <v>0</v>
      </c>
      <c r="G4" s="76">
        <v>70.255072500000011</v>
      </c>
      <c r="H4" s="78"/>
      <c r="I4" s="78"/>
      <c r="J4" s="76">
        <v>67.400347500000009</v>
      </c>
      <c r="K4" s="76">
        <v>22.0582575</v>
      </c>
      <c r="L4" s="78"/>
      <c r="M4" s="78"/>
      <c r="N4" s="76">
        <v>45.57</v>
      </c>
      <c r="O4" s="76">
        <f t="shared" si="0"/>
        <v>222.2279925</v>
      </c>
    </row>
    <row r="5" spans="1:17" ht="20.149999999999999" customHeight="1" x14ac:dyDescent="0.35">
      <c r="A5" s="74">
        <v>18</v>
      </c>
      <c r="B5" s="75" t="s">
        <v>40</v>
      </c>
      <c r="C5" s="76">
        <v>46.184999999999995</v>
      </c>
      <c r="D5" s="76">
        <v>67.960499999999982</v>
      </c>
      <c r="E5" s="76">
        <v>61.02</v>
      </c>
      <c r="F5" s="76">
        <v>56.790549999999996</v>
      </c>
      <c r="G5" s="76">
        <v>29.221</v>
      </c>
      <c r="H5" s="78"/>
      <c r="I5" s="78"/>
      <c r="J5" s="76">
        <v>6.0239999999999991</v>
      </c>
      <c r="K5" s="78"/>
      <c r="L5" s="78"/>
      <c r="M5" s="78"/>
      <c r="N5" s="78"/>
      <c r="O5" s="76">
        <f t="shared" si="0"/>
        <v>267.20104999999995</v>
      </c>
    </row>
    <row r="6" spans="1:17" s="77" customFormat="1" ht="20.149999999999999" customHeight="1" x14ac:dyDescent="0.35">
      <c r="A6" s="74">
        <v>19</v>
      </c>
      <c r="B6" s="75" t="s">
        <v>41</v>
      </c>
      <c r="C6" s="76">
        <v>8.820450000000001</v>
      </c>
      <c r="D6" s="76">
        <v>11.084849999999991</v>
      </c>
      <c r="E6" s="76">
        <v>74.989999999999995</v>
      </c>
      <c r="F6" s="76">
        <v>85.456999999999994</v>
      </c>
      <c r="G6" s="76">
        <v>29.75</v>
      </c>
      <c r="H6" s="76">
        <v>2</v>
      </c>
      <c r="I6" s="76">
        <v>23.256450000000001</v>
      </c>
      <c r="J6" s="76">
        <v>48.085174999999992</v>
      </c>
      <c r="K6" s="76">
        <v>44.45</v>
      </c>
      <c r="L6" s="76">
        <v>4.7816999999999998</v>
      </c>
      <c r="M6" s="76">
        <v>22.22766</v>
      </c>
      <c r="N6" s="76">
        <v>3.91</v>
      </c>
      <c r="O6" s="76">
        <f t="shared" si="0"/>
        <v>358.81328500000001</v>
      </c>
      <c r="P6"/>
      <c r="Q6"/>
    </row>
    <row r="7" spans="1:17" s="77" customFormat="1" ht="20.149999999999999" customHeight="1" x14ac:dyDescent="0.35">
      <c r="A7" s="74">
        <v>20</v>
      </c>
      <c r="B7" s="75" t="s">
        <v>42</v>
      </c>
      <c r="C7" s="76">
        <v>19.437989999999999</v>
      </c>
      <c r="D7" s="76">
        <v>29.355360000000012</v>
      </c>
      <c r="E7" s="76">
        <v>120.29</v>
      </c>
      <c r="F7" s="76">
        <v>48.211787999999999</v>
      </c>
      <c r="G7" s="76">
        <v>100.31000000000002</v>
      </c>
      <c r="H7" s="76">
        <v>58.33</v>
      </c>
      <c r="I7" s="76">
        <v>2.62</v>
      </c>
      <c r="J7" s="76">
        <v>73.260000000000005</v>
      </c>
      <c r="K7" s="76">
        <v>70.94</v>
      </c>
      <c r="L7" s="76">
        <v>129.81</v>
      </c>
      <c r="M7" s="78"/>
      <c r="N7" s="76">
        <v>30.83</v>
      </c>
      <c r="O7" s="76">
        <f t="shared" si="0"/>
        <v>683.39513799999997</v>
      </c>
      <c r="P7"/>
      <c r="Q7"/>
    </row>
    <row r="8" spans="1:17" s="72" customFormat="1" ht="20.149999999999999" customHeight="1" x14ac:dyDescent="0.35">
      <c r="A8" s="74">
        <v>21</v>
      </c>
      <c r="B8" s="75" t="s">
        <v>43</v>
      </c>
      <c r="C8" s="78"/>
      <c r="D8" s="76">
        <v>30.703039999999998</v>
      </c>
      <c r="E8" s="76">
        <v>32.11</v>
      </c>
      <c r="F8" s="76">
        <v>43.396586499999998</v>
      </c>
      <c r="G8" s="76">
        <v>50.09</v>
      </c>
      <c r="H8" s="76">
        <v>80.38</v>
      </c>
      <c r="I8" s="76">
        <v>133.85</v>
      </c>
      <c r="J8" s="76">
        <v>83.820025000000001</v>
      </c>
      <c r="K8" s="76">
        <v>77.88</v>
      </c>
      <c r="L8" s="76">
        <v>130.92495700000001</v>
      </c>
      <c r="M8" s="78"/>
      <c r="N8" s="78">
        <v>5.2</v>
      </c>
      <c r="O8" s="76">
        <f t="shared" si="0"/>
        <v>668.35460850000004</v>
      </c>
      <c r="Q8" s="73"/>
    </row>
    <row r="9" spans="1:17" ht="20.149999999999999" customHeight="1" x14ac:dyDescent="0.35">
      <c r="A9" s="80">
        <v>22</v>
      </c>
      <c r="B9" s="81" t="s">
        <v>46</v>
      </c>
      <c r="C9" s="78"/>
      <c r="D9" s="78"/>
      <c r="E9" s="78">
        <v>4.41</v>
      </c>
      <c r="F9" s="78">
        <v>4.5599999999999996</v>
      </c>
      <c r="G9" s="76">
        <v>8.370000000000001</v>
      </c>
      <c r="H9" s="76">
        <v>4.08</v>
      </c>
      <c r="I9" s="76">
        <v>15.82</v>
      </c>
      <c r="J9" s="76">
        <v>2.536985</v>
      </c>
      <c r="K9" s="76">
        <v>4.99</v>
      </c>
      <c r="L9" s="76">
        <v>12.918180000000001</v>
      </c>
      <c r="M9" s="78"/>
      <c r="N9" s="78"/>
      <c r="O9" s="76">
        <f t="shared" si="0"/>
        <v>57.685165000000005</v>
      </c>
    </row>
    <row r="10" spans="1:17" ht="20.149999999999999" customHeight="1" x14ac:dyDescent="0.35">
      <c r="A10" s="80">
        <v>23</v>
      </c>
      <c r="B10" s="81" t="s">
        <v>98</v>
      </c>
      <c r="C10" s="78"/>
      <c r="D10" s="78"/>
      <c r="E10" s="78"/>
      <c r="F10" s="78"/>
      <c r="G10" s="76"/>
      <c r="H10" s="76"/>
      <c r="I10" s="76"/>
      <c r="J10" s="76"/>
      <c r="K10" s="76"/>
      <c r="L10" s="76">
        <v>5.9850000000000003</v>
      </c>
      <c r="M10" s="78"/>
      <c r="N10" s="78"/>
      <c r="O10" s="76">
        <f t="shared" si="0"/>
        <v>5.9850000000000003</v>
      </c>
    </row>
    <row r="11" spans="1:17" ht="20.149999999999999" customHeight="1" x14ac:dyDescent="0.35">
      <c r="A11" s="80">
        <v>24</v>
      </c>
      <c r="B11" s="81" t="s">
        <v>47</v>
      </c>
      <c r="C11" s="78"/>
      <c r="D11" s="78"/>
      <c r="E11" s="78"/>
      <c r="F11" s="78"/>
      <c r="G11" s="76">
        <v>1.54</v>
      </c>
      <c r="H11" s="78"/>
      <c r="I11" s="76"/>
      <c r="J11" s="78"/>
      <c r="K11" s="78"/>
      <c r="L11" s="76">
        <v>8.2445999999999984</v>
      </c>
      <c r="M11" s="78"/>
      <c r="N11" s="78"/>
      <c r="O11" s="76">
        <f t="shared" si="0"/>
        <v>9.7845999999999975</v>
      </c>
    </row>
    <row r="12" spans="1:17" ht="20.149999999999999" customHeight="1" x14ac:dyDescent="0.35">
      <c r="A12" s="80">
        <v>25</v>
      </c>
      <c r="B12" s="81" t="s">
        <v>100</v>
      </c>
      <c r="C12" s="78"/>
      <c r="D12" s="78"/>
      <c r="E12" s="78"/>
      <c r="F12" s="78"/>
      <c r="G12" s="76"/>
      <c r="H12" s="78"/>
      <c r="I12" s="76"/>
      <c r="J12" s="78"/>
      <c r="K12" s="78"/>
      <c r="L12" s="76"/>
      <c r="M12" s="78"/>
      <c r="N12" s="78"/>
      <c r="O12" s="76">
        <f t="shared" si="0"/>
        <v>0</v>
      </c>
    </row>
    <row r="13" spans="1:17" ht="20.149999999999999" customHeight="1" x14ac:dyDescent="0.35">
      <c r="A13" s="80">
        <v>26</v>
      </c>
      <c r="B13" s="81" t="s">
        <v>48</v>
      </c>
      <c r="C13" s="78"/>
      <c r="D13" s="78"/>
      <c r="E13" s="78"/>
      <c r="F13" s="78"/>
      <c r="G13" s="76">
        <v>4.82</v>
      </c>
      <c r="H13" s="78"/>
      <c r="I13" s="76">
        <v>2.4</v>
      </c>
      <c r="J13" s="78"/>
      <c r="K13" s="78"/>
      <c r="L13" s="78"/>
      <c r="M13" s="78"/>
      <c r="N13" s="78"/>
      <c r="O13" s="76">
        <f t="shared" si="0"/>
        <v>7.2200000000000006</v>
      </c>
    </row>
    <row r="14" spans="1:17" s="77" customFormat="1" ht="20.149999999999999" customHeight="1" x14ac:dyDescent="0.35">
      <c r="A14" s="74">
        <v>32</v>
      </c>
      <c r="B14" s="75" t="s">
        <v>44</v>
      </c>
      <c r="C14" s="79">
        <v>13.409459999999997</v>
      </c>
      <c r="D14" s="76"/>
      <c r="E14" s="76">
        <v>77.75</v>
      </c>
      <c r="F14" s="76">
        <v>145.30000000000001</v>
      </c>
      <c r="G14" s="76">
        <v>39.93</v>
      </c>
      <c r="H14" s="76">
        <v>195.18</v>
      </c>
      <c r="I14" s="76">
        <v>218.86710300000004</v>
      </c>
      <c r="J14" s="76">
        <v>175.19</v>
      </c>
      <c r="K14" s="76">
        <v>166.73</v>
      </c>
      <c r="L14" s="76">
        <v>544.47</v>
      </c>
      <c r="M14" s="76">
        <v>216.06006050000013</v>
      </c>
      <c r="N14" s="76">
        <v>229.27000000000004</v>
      </c>
      <c r="O14" s="76">
        <f t="shared" si="0"/>
        <v>2022.1566235000003</v>
      </c>
    </row>
    <row r="15" spans="1:17" ht="20.149999999999999" customHeight="1" x14ac:dyDescent="0.35">
      <c r="A15" s="74"/>
      <c r="B15" s="75" t="s">
        <v>50</v>
      </c>
      <c r="C15" s="78"/>
      <c r="D15" s="76"/>
      <c r="E15" s="76"/>
      <c r="F15" s="76"/>
      <c r="G15" s="76"/>
      <c r="H15" s="76">
        <v>24.27</v>
      </c>
      <c r="I15" s="76"/>
      <c r="J15" s="78">
        <v>36.450000000000003</v>
      </c>
      <c r="K15" s="78">
        <v>24.3</v>
      </c>
      <c r="L15" s="78">
        <v>48.6</v>
      </c>
      <c r="M15" s="78"/>
      <c r="N15" s="78"/>
      <c r="O15" s="76">
        <f t="shared" si="0"/>
        <v>133.62</v>
      </c>
    </row>
    <row r="16" spans="1:17" ht="20.149999999999999" customHeight="1" x14ac:dyDescent="0.35">
      <c r="A16" s="80">
        <v>38</v>
      </c>
      <c r="B16" s="81" t="s">
        <v>49</v>
      </c>
      <c r="C16" s="78"/>
      <c r="D16" s="78"/>
      <c r="E16" s="78"/>
      <c r="F16" s="78"/>
      <c r="G16" s="76">
        <v>914.47</v>
      </c>
      <c r="H16" s="76">
        <v>1260.1099999999999</v>
      </c>
      <c r="I16" s="76">
        <v>1267.1564833333337</v>
      </c>
      <c r="J16" s="76">
        <v>630.36919999999998</v>
      </c>
      <c r="K16" s="76">
        <v>1198.1399999999999</v>
      </c>
      <c r="L16" s="76">
        <v>5818.08</v>
      </c>
      <c r="M16" s="78"/>
      <c r="N16" s="76">
        <v>14.61</v>
      </c>
      <c r="O16" s="76">
        <f t="shared" si="0"/>
        <v>11102.935683333333</v>
      </c>
    </row>
    <row r="17" spans="1:17" s="77" customFormat="1" ht="20.149999999999999" customHeight="1" x14ac:dyDescent="0.35">
      <c r="A17" s="80">
        <v>36</v>
      </c>
      <c r="B17" s="81" t="s">
        <v>73</v>
      </c>
      <c r="C17" s="78"/>
      <c r="D17" s="78"/>
      <c r="E17" s="78"/>
      <c r="F17" s="78">
        <v>176.28</v>
      </c>
      <c r="G17" s="78"/>
      <c r="H17" s="78">
        <v>402.22</v>
      </c>
      <c r="I17" s="78"/>
      <c r="J17" s="76">
        <v>221.3175</v>
      </c>
      <c r="K17" s="76">
        <v>386.74</v>
      </c>
      <c r="L17" s="78">
        <v>1157.92</v>
      </c>
      <c r="M17" s="78"/>
      <c r="N17" s="78">
        <v>20.03</v>
      </c>
      <c r="O17" s="76">
        <f t="shared" si="0"/>
        <v>2364.5075000000002</v>
      </c>
    </row>
    <row r="18" spans="1:17" ht="20.149999999999999" customHeight="1" x14ac:dyDescent="0.35">
      <c r="A18" s="80">
        <v>40</v>
      </c>
      <c r="B18" s="81" t="s">
        <v>74</v>
      </c>
      <c r="C18" s="78"/>
      <c r="D18" s="78"/>
      <c r="E18" s="78"/>
      <c r="F18" s="78"/>
      <c r="G18" s="78"/>
      <c r="H18" s="78"/>
      <c r="I18" s="78"/>
      <c r="J18" s="78">
        <v>1119.26</v>
      </c>
      <c r="K18" s="78">
        <v>1040.02</v>
      </c>
      <c r="L18" s="76">
        <v>1947.44</v>
      </c>
      <c r="M18" s="78"/>
      <c r="N18" s="76">
        <v>117.95</v>
      </c>
      <c r="O18" s="76">
        <f t="shared" si="0"/>
        <v>4224.6699999999992</v>
      </c>
    </row>
    <row r="19" spans="1:17" s="72" customFormat="1" ht="20.149999999999999" customHeight="1" x14ac:dyDescent="0.35">
      <c r="A19" s="93">
        <v>46</v>
      </c>
      <c r="B19" s="94" t="s">
        <v>77</v>
      </c>
      <c r="C19" s="78"/>
      <c r="D19" s="78"/>
      <c r="E19" s="78"/>
      <c r="F19" s="78"/>
      <c r="G19" s="78"/>
      <c r="H19" s="78"/>
      <c r="I19" s="78"/>
      <c r="J19" s="78"/>
      <c r="K19" s="78">
        <v>734.46</v>
      </c>
      <c r="L19" s="76">
        <v>1133.3599999999999</v>
      </c>
      <c r="M19" s="76">
        <v>1029.49</v>
      </c>
      <c r="N19" s="76">
        <v>782.03</v>
      </c>
      <c r="O19" s="76">
        <f t="shared" si="0"/>
        <v>3679.34</v>
      </c>
      <c r="Q19" s="73"/>
    </row>
    <row r="20" spans="1:17" ht="20.149999999999999" customHeight="1" x14ac:dyDescent="0.35">
      <c r="A20" s="93">
        <v>48</v>
      </c>
      <c r="B20" s="94" t="s">
        <v>79</v>
      </c>
      <c r="C20" s="78"/>
      <c r="D20" s="78"/>
      <c r="E20" s="78"/>
      <c r="F20" s="78"/>
      <c r="G20" s="78"/>
      <c r="H20" s="78"/>
      <c r="I20" s="78"/>
      <c r="J20" s="78"/>
      <c r="K20" s="78">
        <v>8.98</v>
      </c>
      <c r="L20" s="78">
        <v>4.34</v>
      </c>
      <c r="M20" s="76"/>
      <c r="N20" s="76">
        <v>1.21</v>
      </c>
      <c r="O20" s="76">
        <f t="shared" si="0"/>
        <v>14.530000000000001</v>
      </c>
    </row>
    <row r="21" spans="1:17" ht="20.149999999999999" customHeight="1" x14ac:dyDescent="0.35">
      <c r="A21" s="93">
        <v>49</v>
      </c>
      <c r="B21" s="94" t="s">
        <v>75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6">
        <v>218.26</v>
      </c>
      <c r="N21" s="78"/>
      <c r="O21" s="76">
        <f t="shared" si="0"/>
        <v>218.26</v>
      </c>
    </row>
    <row r="22" spans="1:17" ht="20.149999999999999" customHeight="1" x14ac:dyDescent="0.35">
      <c r="A22" s="93">
        <v>50</v>
      </c>
      <c r="B22" s="94" t="s">
        <v>76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6">
        <v>726.44999999999993</v>
      </c>
      <c r="N22" s="78"/>
      <c r="O22" s="76">
        <f t="shared" si="0"/>
        <v>726.44999999999993</v>
      </c>
    </row>
    <row r="23" spans="1:17" ht="20.149999999999999" customHeight="1" x14ac:dyDescent="0.35">
      <c r="A23" s="93">
        <v>48</v>
      </c>
      <c r="B23" s="94" t="s">
        <v>78</v>
      </c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>
        <v>47.42</v>
      </c>
      <c r="N23" s="76">
        <v>161.31</v>
      </c>
      <c r="O23" s="76">
        <f t="shared" si="0"/>
        <v>208.73000000000002</v>
      </c>
    </row>
    <row r="24" spans="1:17" ht="20.149999999999999" customHeight="1" x14ac:dyDescent="0.35">
      <c r="A24" s="93">
        <v>41</v>
      </c>
      <c r="B24" s="94" t="s">
        <v>82</v>
      </c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>
        <v>223.39000000000001</v>
      </c>
      <c r="N24" s="76">
        <v>200.78</v>
      </c>
      <c r="O24" s="76">
        <f t="shared" si="0"/>
        <v>424.17</v>
      </c>
    </row>
    <row r="25" spans="1:17" ht="20.149999999999999" customHeight="1" x14ac:dyDescent="0.35">
      <c r="A25" s="93">
        <v>42</v>
      </c>
      <c r="B25" s="94" t="s">
        <v>81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>
        <v>15.33</v>
      </c>
      <c r="N25" s="76"/>
      <c r="O25" s="76">
        <f t="shared" si="0"/>
        <v>15.33</v>
      </c>
    </row>
    <row r="26" spans="1:17" ht="31" x14ac:dyDescent="0.35">
      <c r="A26" s="93">
        <v>51</v>
      </c>
      <c r="B26" s="95" t="s">
        <v>99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6">
        <v>49.32</v>
      </c>
      <c r="O26" s="76">
        <f t="shared" si="0"/>
        <v>49.32</v>
      </c>
    </row>
    <row r="27" spans="1:17" ht="20.149999999999999" customHeight="1" x14ac:dyDescent="0.35">
      <c r="A27" s="93">
        <v>52</v>
      </c>
      <c r="B27" s="94" t="s">
        <v>80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6"/>
      <c r="O27" s="76">
        <f t="shared" si="0"/>
        <v>0</v>
      </c>
    </row>
    <row r="28" spans="1:17" ht="20.149999999999999" customHeight="1" x14ac:dyDescent="0.35">
      <c r="A28" s="93">
        <v>62</v>
      </c>
      <c r="B28" s="94" t="s">
        <v>85</v>
      </c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>
        <v>180.84000000000003</v>
      </c>
      <c r="N28" s="76"/>
      <c r="O28" s="76">
        <f t="shared" si="0"/>
        <v>180.84000000000003</v>
      </c>
    </row>
    <row r="29" spans="1:17" ht="14.25" customHeight="1" x14ac:dyDescent="0.35"/>
  </sheetData>
  <mergeCells count="1">
    <mergeCell ref="A1:O1"/>
  </mergeCells>
  <pageMargins left="0.33" right="0.2" top="0.74803149606299213" bottom="0.74803149606299213" header="0.31496062992125984" footer="0.31496062992125984"/>
  <pageSetup paperSize="9" scale="8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N46"/>
  <sheetViews>
    <sheetView view="pageBreakPreview" zoomScaleSheetLayoutView="100" workbookViewId="0">
      <selection activeCell="M18" sqref="M18"/>
    </sheetView>
  </sheetViews>
  <sheetFormatPr defaultColWidth="9" defaultRowHeight="15.5" x14ac:dyDescent="0.35"/>
  <cols>
    <col min="1" max="1" width="4.58203125" style="143" customWidth="1"/>
    <col min="2" max="2" width="24.5" style="130" customWidth="1"/>
    <col min="3" max="3" width="13.25" style="144" customWidth="1"/>
    <col min="4" max="4" width="16.08203125" style="143" customWidth="1"/>
    <col min="5" max="5" width="9.5" style="143" customWidth="1"/>
    <col min="6" max="6" width="16" style="143" customWidth="1"/>
    <col min="7" max="7" width="26.75" style="143" customWidth="1"/>
    <col min="8" max="8" width="9" style="130"/>
    <col min="9" max="9" width="9" style="130" customWidth="1"/>
    <col min="10" max="16384" width="9" style="130"/>
  </cols>
  <sheetData>
    <row r="1" spans="1:9" s="122" customFormat="1" ht="30" customHeight="1" x14ac:dyDescent="0.35">
      <c r="A1" s="222" t="s">
        <v>26</v>
      </c>
      <c r="B1" s="222"/>
      <c r="C1" s="222"/>
      <c r="D1" s="222"/>
      <c r="E1" s="222"/>
      <c r="F1" s="222"/>
      <c r="G1" s="222"/>
    </row>
    <row r="2" spans="1:9" s="122" customFormat="1" ht="61.5" customHeight="1" x14ac:dyDescent="0.35">
      <c r="A2" s="223" t="s">
        <v>148</v>
      </c>
      <c r="B2" s="223"/>
      <c r="C2" s="223"/>
      <c r="D2" s="223"/>
      <c r="E2" s="223"/>
      <c r="F2" s="179" t="s">
        <v>189</v>
      </c>
      <c r="G2" s="147" t="s">
        <v>188</v>
      </c>
      <c r="H2"/>
      <c r="I2"/>
    </row>
    <row r="3" spans="1:9" s="122" customFormat="1" ht="30" customHeight="1" x14ac:dyDescent="0.35">
      <c r="A3" s="224" t="s">
        <v>149</v>
      </c>
      <c r="B3" s="224"/>
      <c r="C3" s="224"/>
      <c r="D3" s="224"/>
      <c r="E3" s="224"/>
      <c r="F3" s="133" t="s">
        <v>150</v>
      </c>
      <c r="G3" s="180" t="s">
        <v>190</v>
      </c>
      <c r="H3"/>
      <c r="I3"/>
    </row>
    <row r="4" spans="1:9" s="124" customFormat="1" ht="15.75" customHeight="1" x14ac:dyDescent="0.35">
      <c r="A4" s="225" t="s">
        <v>29</v>
      </c>
      <c r="B4" s="225" t="s">
        <v>30</v>
      </c>
      <c r="C4" s="226" t="s">
        <v>31</v>
      </c>
      <c r="D4" s="225" t="s">
        <v>181</v>
      </c>
      <c r="E4" s="225" t="s">
        <v>9</v>
      </c>
      <c r="F4" s="227" t="s">
        <v>180</v>
      </c>
      <c r="G4" s="222" t="s">
        <v>34</v>
      </c>
    </row>
    <row r="5" spans="1:9" s="125" customFormat="1" ht="60" customHeight="1" x14ac:dyDescent="0.35">
      <c r="A5" s="225"/>
      <c r="B5" s="225"/>
      <c r="C5" s="226"/>
      <c r="D5" s="225"/>
      <c r="E5" s="225"/>
      <c r="F5" s="228"/>
      <c r="G5" s="222"/>
    </row>
    <row r="6" spans="1:9" ht="25" customHeight="1" x14ac:dyDescent="0.35">
      <c r="A6" s="126">
        <v>1</v>
      </c>
      <c r="B6" s="127" t="s">
        <v>142</v>
      </c>
      <c r="C6" s="128">
        <f>135.73+71.03+136.54+189.42+1012.46+366.35</f>
        <v>1911.5299999999997</v>
      </c>
      <c r="D6" s="128">
        <v>6</v>
      </c>
      <c r="E6" s="126" t="s">
        <v>37</v>
      </c>
      <c r="F6" s="129">
        <f>C6*D6</f>
        <v>11469.179999999998</v>
      </c>
      <c r="G6" s="219" t="s">
        <v>38</v>
      </c>
    </row>
    <row r="7" spans="1:9" ht="25" hidden="1" customHeight="1" x14ac:dyDescent="0.35">
      <c r="A7" s="126">
        <v>18</v>
      </c>
      <c r="B7" s="127" t="s">
        <v>143</v>
      </c>
      <c r="C7" s="128">
        <f>45.36+48.06+59.4+852.38</f>
        <v>1005.2</v>
      </c>
      <c r="D7" s="131"/>
      <c r="E7" s="126" t="s">
        <v>37</v>
      </c>
      <c r="F7" s="129">
        <f t="shared" ref="F7:F15" si="0">C7*D7</f>
        <v>0</v>
      </c>
      <c r="G7" s="220"/>
    </row>
    <row r="8" spans="1:9" ht="25" hidden="1" customHeight="1" x14ac:dyDescent="0.35">
      <c r="A8" s="126">
        <v>19</v>
      </c>
      <c r="B8" s="127" t="s">
        <v>143</v>
      </c>
      <c r="C8" s="128">
        <f>31.73+29.78+14.7+341.77</f>
        <v>417.98</v>
      </c>
      <c r="D8" s="131"/>
      <c r="E8" s="126" t="s">
        <v>37</v>
      </c>
      <c r="F8" s="129">
        <f t="shared" si="0"/>
        <v>0</v>
      </c>
      <c r="G8" s="220"/>
    </row>
    <row r="9" spans="1:9" ht="25" hidden="1" customHeight="1" x14ac:dyDescent="0.35">
      <c r="A9" s="126">
        <v>20</v>
      </c>
      <c r="B9" s="127" t="s">
        <v>143</v>
      </c>
      <c r="C9" s="128">
        <f>22.02+23.37+49.68</f>
        <v>95.07</v>
      </c>
      <c r="D9" s="131"/>
      <c r="E9" s="126" t="s">
        <v>37</v>
      </c>
      <c r="F9" s="129">
        <f t="shared" si="0"/>
        <v>0</v>
      </c>
      <c r="G9" s="220"/>
    </row>
    <row r="10" spans="1:9" ht="25" hidden="1" customHeight="1" x14ac:dyDescent="0.35">
      <c r="A10" s="126"/>
      <c r="B10" s="127" t="s">
        <v>143</v>
      </c>
      <c r="C10" s="128">
        <f>27.76+50.94</f>
        <v>78.7</v>
      </c>
      <c r="D10" s="131"/>
      <c r="E10" s="126" t="s">
        <v>37</v>
      </c>
      <c r="F10" s="129">
        <f t="shared" si="0"/>
        <v>0</v>
      </c>
      <c r="G10" s="220"/>
    </row>
    <row r="11" spans="1:9" ht="25" hidden="1" customHeight="1" x14ac:dyDescent="0.35">
      <c r="A11" s="126"/>
      <c r="B11" s="127" t="s">
        <v>143</v>
      </c>
      <c r="C11" s="128">
        <f>39.93+100.51</f>
        <v>140.44</v>
      </c>
      <c r="D11" s="131"/>
      <c r="E11" s="126" t="s">
        <v>37</v>
      </c>
      <c r="F11" s="129">
        <f t="shared" si="0"/>
        <v>0</v>
      </c>
      <c r="G11" s="220"/>
    </row>
    <row r="12" spans="1:9" ht="25" hidden="1" customHeight="1" x14ac:dyDescent="0.35">
      <c r="A12" s="126"/>
      <c r="B12" s="127" t="s">
        <v>143</v>
      </c>
      <c r="C12" s="128">
        <f>12.38+6.35</f>
        <v>18.73</v>
      </c>
      <c r="D12" s="131"/>
      <c r="E12" s="126" t="s">
        <v>37</v>
      </c>
      <c r="F12" s="129">
        <f t="shared" si="0"/>
        <v>0</v>
      </c>
      <c r="G12" s="220"/>
    </row>
    <row r="13" spans="1:9" ht="25" hidden="1" customHeight="1" x14ac:dyDescent="0.35">
      <c r="A13" s="126"/>
      <c r="B13" s="127" t="s">
        <v>143</v>
      </c>
      <c r="C13" s="128">
        <f>22.03+8.07</f>
        <v>30.1</v>
      </c>
      <c r="D13" s="131"/>
      <c r="E13" s="126" t="s">
        <v>37</v>
      </c>
      <c r="F13" s="129">
        <f t="shared" si="0"/>
        <v>0</v>
      </c>
      <c r="G13" s="220"/>
    </row>
    <row r="14" spans="1:9" ht="25" hidden="1" customHeight="1" x14ac:dyDescent="0.35">
      <c r="A14" s="126"/>
      <c r="B14" s="127" t="s">
        <v>143</v>
      </c>
      <c r="C14" s="128">
        <v>1.23</v>
      </c>
      <c r="D14" s="131"/>
      <c r="E14" s="126" t="s">
        <v>37</v>
      </c>
      <c r="F14" s="129">
        <f t="shared" si="0"/>
        <v>0</v>
      </c>
      <c r="G14" s="220"/>
    </row>
    <row r="15" spans="1:9" ht="25" hidden="1" customHeight="1" x14ac:dyDescent="0.35">
      <c r="A15" s="126"/>
      <c r="B15" s="127" t="s">
        <v>145</v>
      </c>
      <c r="C15" s="128">
        <f>57.71+137.6</f>
        <v>195.31</v>
      </c>
      <c r="D15" s="131"/>
      <c r="E15" s="126" t="s">
        <v>37</v>
      </c>
      <c r="F15" s="129">
        <f t="shared" si="0"/>
        <v>0</v>
      </c>
      <c r="G15" s="220"/>
    </row>
    <row r="16" spans="1:9" ht="25" customHeight="1" x14ac:dyDescent="0.35">
      <c r="A16" s="126">
        <v>2</v>
      </c>
      <c r="B16" s="127" t="s">
        <v>146</v>
      </c>
      <c r="C16" s="128">
        <f>SUM(C7:C15)</f>
        <v>1982.76</v>
      </c>
      <c r="D16" s="131">
        <v>7</v>
      </c>
      <c r="E16" s="126" t="s">
        <v>37</v>
      </c>
      <c r="F16" s="129">
        <f>C16*D16</f>
        <v>13879.32</v>
      </c>
      <c r="G16" s="220"/>
    </row>
    <row r="17" spans="1:14" ht="25" customHeight="1" x14ac:dyDescent="0.35">
      <c r="A17" s="126">
        <v>3</v>
      </c>
      <c r="B17" s="127" t="s">
        <v>147</v>
      </c>
      <c r="C17" s="175">
        <v>343.68</v>
      </c>
      <c r="D17" s="176">
        <v>8</v>
      </c>
      <c r="E17" s="177" t="s">
        <v>37</v>
      </c>
      <c r="F17" s="129">
        <f>C17*D17</f>
        <v>2749.44</v>
      </c>
      <c r="G17" s="220"/>
    </row>
    <row r="18" spans="1:14" ht="46.5" x14ac:dyDescent="0.35">
      <c r="A18" s="126">
        <v>4</v>
      </c>
      <c r="B18" s="147" t="s">
        <v>154</v>
      </c>
      <c r="C18" s="128"/>
      <c r="D18" s="131"/>
      <c r="E18" s="126" t="s">
        <v>37</v>
      </c>
      <c r="F18" s="129">
        <v>3599.8883070000002</v>
      </c>
      <c r="G18" s="221"/>
    </row>
    <row r="19" spans="1:14" s="122" customFormat="1" ht="36.75" customHeight="1" x14ac:dyDescent="0.35">
      <c r="A19" s="132"/>
      <c r="B19" s="133"/>
      <c r="C19" s="134"/>
      <c r="D19" s="132"/>
      <c r="E19" s="123" t="s">
        <v>153</v>
      </c>
      <c r="F19" s="135">
        <f>SUM(F6:F18)</f>
        <v>31697.828307</v>
      </c>
      <c r="G19" s="136">
        <f>(F19*50)/1000</f>
        <v>1584.89141535</v>
      </c>
    </row>
    <row r="20" spans="1:14" s="142" customFormat="1" ht="25.5" customHeight="1" x14ac:dyDescent="0.35">
      <c r="A20" s="137"/>
      <c r="B20" s="138"/>
      <c r="C20" s="139"/>
      <c r="D20" s="137"/>
      <c r="E20" s="137"/>
      <c r="F20" s="140"/>
      <c r="G20" s="141" t="s">
        <v>45</v>
      </c>
      <c r="H20"/>
      <c r="I20"/>
      <c r="J20"/>
      <c r="K20"/>
      <c r="L20"/>
      <c r="M20"/>
      <c r="N20"/>
    </row>
    <row r="21" spans="1:14" ht="25" customHeight="1" x14ac:dyDescent="0.35">
      <c r="F21"/>
      <c r="G21"/>
      <c r="H21"/>
      <c r="I21"/>
      <c r="J21"/>
    </row>
    <row r="22" spans="1:14" s="122" customFormat="1" ht="25" customHeight="1" x14ac:dyDescent="0.35">
      <c r="A22" s="125"/>
      <c r="D22" s="125"/>
      <c r="E22" s="125"/>
      <c r="F22"/>
      <c r="G22"/>
      <c r="H22"/>
      <c r="I22"/>
      <c r="J22"/>
    </row>
    <row r="23" spans="1:14" s="122" customFormat="1" ht="25" customHeight="1" x14ac:dyDescent="0.35">
      <c r="A23" s="125"/>
      <c r="C23" s="145"/>
      <c r="D23" s="125"/>
      <c r="E23" s="125"/>
      <c r="F23"/>
      <c r="G23"/>
      <c r="H23"/>
      <c r="I23"/>
      <c r="J23"/>
    </row>
    <row r="24" spans="1:14" ht="25" customHeight="1" x14ac:dyDescent="0.35"/>
    <row r="25" spans="1:14" ht="25" customHeight="1" x14ac:dyDescent="0.35">
      <c r="A25" s="146"/>
      <c r="B25" s="146"/>
      <c r="C25" s="146"/>
      <c r="D25" s="146"/>
      <c r="E25" s="146"/>
      <c r="F25" s="146"/>
      <c r="G25" s="146"/>
    </row>
    <row r="26" spans="1:14" ht="25" customHeight="1" x14ac:dyDescent="0.35">
      <c r="A26" s="146"/>
      <c r="B26" s="146"/>
      <c r="C26" s="146"/>
      <c r="D26" s="146"/>
      <c r="E26" s="146"/>
      <c r="F26" s="146"/>
      <c r="G26" s="146"/>
    </row>
    <row r="27" spans="1:14" ht="25" customHeight="1" x14ac:dyDescent="0.35">
      <c r="A27" s="146"/>
      <c r="B27" s="146"/>
      <c r="C27" s="146"/>
      <c r="D27" s="146"/>
      <c r="E27" s="146"/>
      <c r="F27" s="146"/>
      <c r="G27" s="146"/>
    </row>
    <row r="28" spans="1:14" ht="25" customHeight="1" x14ac:dyDescent="0.35">
      <c r="A28" s="146"/>
      <c r="B28" s="146"/>
      <c r="C28" s="146"/>
      <c r="D28" s="146"/>
      <c r="E28" s="146"/>
      <c r="F28" s="146"/>
      <c r="G28" s="146"/>
    </row>
    <row r="29" spans="1:14" ht="20.149999999999999" customHeight="1" x14ac:dyDescent="0.35"/>
    <row r="30" spans="1:14" ht="20.149999999999999" customHeight="1" x14ac:dyDescent="0.35"/>
    <row r="31" spans="1:14" ht="20.149999999999999" customHeight="1" x14ac:dyDescent="0.35"/>
    <row r="32" spans="1:14" ht="20.149999999999999" customHeight="1" x14ac:dyDescent="0.35"/>
    <row r="33" spans="2:14" ht="20.149999999999999" customHeight="1" x14ac:dyDescent="0.35"/>
    <row r="34" spans="2:14" ht="20.149999999999999" customHeight="1" x14ac:dyDescent="0.35"/>
    <row r="35" spans="2:14" ht="20.149999999999999" customHeight="1" x14ac:dyDescent="0.35"/>
    <row r="36" spans="2:14" ht="20.149999999999999" customHeight="1" x14ac:dyDescent="0.35"/>
    <row r="37" spans="2:14" ht="20.149999999999999" customHeight="1" x14ac:dyDescent="0.35"/>
    <row r="38" spans="2:14" ht="20.149999999999999" customHeight="1" x14ac:dyDescent="0.35"/>
    <row r="39" spans="2:14" ht="20.149999999999999" customHeight="1" x14ac:dyDescent="0.35"/>
    <row r="40" spans="2:14" ht="20.149999999999999" customHeight="1" x14ac:dyDescent="0.35"/>
    <row r="41" spans="2:14" s="143" customFormat="1" ht="20.149999999999999" customHeight="1" x14ac:dyDescent="0.35">
      <c r="B41" s="130"/>
      <c r="C41" s="144"/>
      <c r="H41" s="130"/>
      <c r="I41" s="130"/>
      <c r="J41" s="130"/>
      <c r="K41" s="130"/>
      <c r="L41" s="130"/>
      <c r="M41" s="130"/>
      <c r="N41" s="130"/>
    </row>
    <row r="42" spans="2:14" s="143" customFormat="1" ht="20.149999999999999" customHeight="1" x14ac:dyDescent="0.35">
      <c r="B42" s="130"/>
      <c r="C42" s="144"/>
      <c r="H42" s="130"/>
      <c r="I42" s="130"/>
      <c r="J42" s="130"/>
      <c r="K42" s="130"/>
      <c r="L42" s="130"/>
      <c r="M42" s="130"/>
      <c r="N42" s="130"/>
    </row>
    <row r="43" spans="2:14" s="143" customFormat="1" ht="20.149999999999999" customHeight="1" x14ac:dyDescent="0.35">
      <c r="B43" s="130"/>
      <c r="C43" s="144"/>
      <c r="H43" s="130"/>
      <c r="I43" s="130"/>
      <c r="J43" s="130"/>
      <c r="K43" s="130"/>
      <c r="L43" s="130"/>
      <c r="M43" s="130"/>
      <c r="N43" s="130"/>
    </row>
    <row r="44" spans="2:14" s="143" customFormat="1" ht="20.149999999999999" customHeight="1" x14ac:dyDescent="0.35">
      <c r="B44" s="130"/>
      <c r="C44" s="144"/>
      <c r="H44" s="130"/>
      <c r="I44" s="130"/>
      <c r="J44" s="130"/>
      <c r="K44" s="130"/>
      <c r="L44" s="130"/>
      <c r="M44" s="130"/>
      <c r="N44" s="130"/>
    </row>
    <row r="45" spans="2:14" s="143" customFormat="1" ht="20.149999999999999" customHeight="1" x14ac:dyDescent="0.35">
      <c r="B45" s="130"/>
      <c r="C45" s="144"/>
      <c r="H45" s="130"/>
      <c r="I45" s="130"/>
      <c r="J45" s="130"/>
      <c r="K45" s="130"/>
      <c r="L45" s="130"/>
      <c r="M45" s="130"/>
      <c r="N45" s="130"/>
    </row>
    <row r="46" spans="2:14" s="143" customFormat="1" ht="20.149999999999999" customHeight="1" x14ac:dyDescent="0.35">
      <c r="B46" s="130"/>
      <c r="C46" s="144"/>
      <c r="H46" s="130"/>
      <c r="I46" s="130"/>
      <c r="J46" s="130"/>
      <c r="K46" s="130"/>
      <c r="L46" s="130"/>
      <c r="M46" s="130"/>
      <c r="N46" s="130"/>
    </row>
  </sheetData>
  <mergeCells count="11">
    <mergeCell ref="G6:G18"/>
    <mergeCell ref="A1:G1"/>
    <mergeCell ref="A2:E2"/>
    <mergeCell ref="A3:E3"/>
    <mergeCell ref="A4:A5"/>
    <mergeCell ref="B4:B5"/>
    <mergeCell ref="C4:C5"/>
    <mergeCell ref="D4:D5"/>
    <mergeCell ref="E4:E5"/>
    <mergeCell ref="G4:G5"/>
    <mergeCell ref="F4:F5"/>
  </mergeCells>
  <pageMargins left="0.7" right="0.48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J27"/>
  <sheetViews>
    <sheetView view="pageBreakPreview" topLeftCell="A8" zoomScale="85" zoomScaleSheetLayoutView="85" workbookViewId="0">
      <selection activeCell="G27" sqref="G27"/>
    </sheetView>
  </sheetViews>
  <sheetFormatPr defaultColWidth="9" defaultRowHeight="15.5" x14ac:dyDescent="0.35"/>
  <cols>
    <col min="1" max="1" width="4" style="108" customWidth="1"/>
    <col min="2" max="2" width="14.75" style="107" customWidth="1"/>
    <col min="3" max="4" width="12.08203125" style="108" customWidth="1"/>
    <col min="5" max="5" width="11.25" style="108" customWidth="1"/>
    <col min="6" max="6" width="9.5" style="107" bestFit="1" customWidth="1"/>
    <col min="7" max="7" width="9.83203125" style="108" bestFit="1" customWidth="1"/>
    <col min="8" max="8" width="9" style="107"/>
    <col min="9" max="9" width="9.08203125" style="107" bestFit="1" customWidth="1"/>
    <col min="10" max="10" width="11.83203125" style="107" bestFit="1" customWidth="1"/>
    <col min="11" max="16384" width="9" style="107"/>
  </cols>
  <sheetData>
    <row r="1" spans="1:9" ht="22.5" customHeight="1" x14ac:dyDescent="0.35">
      <c r="A1" s="229" t="s">
        <v>125</v>
      </c>
      <c r="B1" s="229"/>
      <c r="C1" s="229"/>
      <c r="D1" s="229"/>
      <c r="E1" s="229"/>
      <c r="F1" s="229"/>
      <c r="G1" s="229"/>
    </row>
    <row r="2" spans="1:9" s="111" customFormat="1" ht="37.5" customHeight="1" x14ac:dyDescent="0.35">
      <c r="A2" s="62" t="s">
        <v>71</v>
      </c>
      <c r="B2" s="110" t="s">
        <v>5</v>
      </c>
      <c r="C2" s="229" t="s">
        <v>122</v>
      </c>
      <c r="D2" s="229"/>
      <c r="E2" s="229" t="s">
        <v>123</v>
      </c>
      <c r="F2" s="229"/>
      <c r="G2" s="62" t="s">
        <v>155</v>
      </c>
    </row>
    <row r="3" spans="1:9" x14ac:dyDescent="0.35">
      <c r="A3" s="9" t="s">
        <v>126</v>
      </c>
      <c r="B3" s="109" t="s">
        <v>67</v>
      </c>
      <c r="C3" s="100">
        <v>43586</v>
      </c>
      <c r="D3" s="101">
        <v>314</v>
      </c>
      <c r="E3" s="100">
        <v>45870</v>
      </c>
      <c r="F3" s="101">
        <v>444.68200000000002</v>
      </c>
      <c r="G3" s="48">
        <f>(F3-D3)/D3*100</f>
        <v>41.618471337579621</v>
      </c>
    </row>
    <row r="4" spans="1:9" x14ac:dyDescent="0.35">
      <c r="A4" s="9"/>
      <c r="B4" s="109"/>
      <c r="C4" s="100">
        <v>43617</v>
      </c>
      <c r="D4" s="101">
        <v>316</v>
      </c>
      <c r="E4" s="100">
        <v>45901</v>
      </c>
      <c r="F4" s="101">
        <v>444.68200000000002</v>
      </c>
      <c r="G4" s="48">
        <f t="shared" ref="G4:G6" si="0">(F4-D4)/D4*100</f>
        <v>40.722151898734182</v>
      </c>
    </row>
    <row r="5" spans="1:9" x14ac:dyDescent="0.35">
      <c r="A5" s="9"/>
      <c r="B5" s="109"/>
      <c r="C5" s="100">
        <v>43647</v>
      </c>
      <c r="D5" s="101">
        <v>319</v>
      </c>
      <c r="E5" s="100">
        <v>45931</v>
      </c>
      <c r="F5" s="101">
        <v>455.63000000000005</v>
      </c>
      <c r="G5" s="48">
        <f t="shared" si="0"/>
        <v>42.830721003134812</v>
      </c>
    </row>
    <row r="6" spans="1:9" s="111" customFormat="1" x14ac:dyDescent="0.35">
      <c r="A6" s="62"/>
      <c r="B6" s="110"/>
      <c r="C6" s="62" t="s">
        <v>124</v>
      </c>
      <c r="D6" s="104">
        <f>AVERAGE(D3:D5)</f>
        <v>316.33333333333331</v>
      </c>
      <c r="E6" s="62"/>
      <c r="F6" s="104">
        <f>AVERAGE(F3:F5)</f>
        <v>448.33133333333336</v>
      </c>
      <c r="G6" s="104">
        <f t="shared" si="0"/>
        <v>41.727502634351964</v>
      </c>
    </row>
    <row r="7" spans="1:9" x14ac:dyDescent="0.35">
      <c r="A7" s="9"/>
      <c r="B7" s="109"/>
      <c r="C7" s="9"/>
      <c r="D7" s="9"/>
      <c r="E7" s="9"/>
      <c r="F7" s="109"/>
      <c r="G7" s="9"/>
    </row>
    <row r="8" spans="1:9" x14ac:dyDescent="0.35">
      <c r="A8" s="9" t="s">
        <v>127</v>
      </c>
      <c r="B8" s="109" t="s">
        <v>119</v>
      </c>
      <c r="C8" s="100">
        <v>43586</v>
      </c>
      <c r="D8" s="101">
        <v>121.6</v>
      </c>
      <c r="E8" s="100">
        <v>45870</v>
      </c>
      <c r="F8" s="101">
        <v>155.19999999999999</v>
      </c>
      <c r="G8" s="48">
        <f>(F8-D8)/D8*100</f>
        <v>27.631578947368418</v>
      </c>
    </row>
    <row r="9" spans="1:9" x14ac:dyDescent="0.35">
      <c r="A9" s="9"/>
      <c r="B9" s="109"/>
      <c r="C9" s="100">
        <v>43617</v>
      </c>
      <c r="D9" s="101">
        <v>121.5</v>
      </c>
      <c r="E9" s="100">
        <v>45901</v>
      </c>
      <c r="F9" s="101">
        <v>155.19999999999999</v>
      </c>
      <c r="G9" s="48">
        <f t="shared" ref="G9:G11" si="1">(F9-D9)/D9*100</f>
        <v>27.736625514403286</v>
      </c>
      <c r="I9" s="101">
        <v>181.5</v>
      </c>
    </row>
    <row r="10" spans="1:9" x14ac:dyDescent="0.35">
      <c r="A10" s="9"/>
      <c r="B10" s="109"/>
      <c r="C10" s="100">
        <v>43647</v>
      </c>
      <c r="D10" s="101">
        <v>121.3</v>
      </c>
      <c r="E10" s="100">
        <v>45931</v>
      </c>
      <c r="F10" s="101">
        <v>155.19999999999999</v>
      </c>
      <c r="G10" s="48">
        <f t="shared" si="1"/>
        <v>27.947238252267098</v>
      </c>
      <c r="I10" s="101">
        <v>179.8</v>
      </c>
    </row>
    <row r="11" spans="1:9" s="111" customFormat="1" x14ac:dyDescent="0.35">
      <c r="A11" s="62"/>
      <c r="B11" s="110"/>
      <c r="C11" s="62" t="s">
        <v>124</v>
      </c>
      <c r="D11" s="104">
        <f>AVERAGE(D8:D10)</f>
        <v>121.46666666666665</v>
      </c>
      <c r="E11" s="62"/>
      <c r="F11" s="104">
        <f>AVERAGE(F8:F10)</f>
        <v>155.19999999999999</v>
      </c>
      <c r="G11" s="104">
        <f t="shared" si="1"/>
        <v>27.771679473106481</v>
      </c>
    </row>
    <row r="12" spans="1:9" x14ac:dyDescent="0.35">
      <c r="A12" s="9"/>
      <c r="B12" s="109"/>
      <c r="C12" s="9"/>
      <c r="D12" s="9"/>
      <c r="E12" s="9"/>
      <c r="F12" s="109"/>
      <c r="G12" s="9"/>
    </row>
    <row r="13" spans="1:9" x14ac:dyDescent="0.35">
      <c r="A13" s="9" t="s">
        <v>128</v>
      </c>
      <c r="B13" s="109" t="s">
        <v>120</v>
      </c>
      <c r="C13" s="100">
        <v>43586</v>
      </c>
      <c r="D13" s="101">
        <v>68.52</v>
      </c>
      <c r="E13" s="100">
        <v>45870</v>
      </c>
      <c r="F13" s="101">
        <v>90.34</v>
      </c>
      <c r="G13" s="48">
        <f>(F13-D13)/D13*100</f>
        <v>31.844716870986584</v>
      </c>
    </row>
    <row r="14" spans="1:9" x14ac:dyDescent="0.35">
      <c r="A14" s="9"/>
      <c r="B14" s="109"/>
      <c r="C14" s="100">
        <v>43617</v>
      </c>
      <c r="D14" s="101">
        <v>67.155000000000001</v>
      </c>
      <c r="E14" s="100">
        <v>45901</v>
      </c>
      <c r="F14" s="101">
        <v>90.34</v>
      </c>
      <c r="G14" s="48">
        <f t="shared" ref="G14:G16" si="2">(F14-D14)/D14*100</f>
        <v>34.524607251879978</v>
      </c>
    </row>
    <row r="15" spans="1:9" x14ac:dyDescent="0.35">
      <c r="A15" s="9"/>
      <c r="B15" s="109"/>
      <c r="C15" s="100">
        <v>43647</v>
      </c>
      <c r="D15" s="101">
        <v>67.034999999999997</v>
      </c>
      <c r="E15" s="100">
        <v>45931</v>
      </c>
      <c r="F15" s="101">
        <v>90.34</v>
      </c>
      <c r="G15" s="48">
        <f t="shared" si="2"/>
        <v>34.76542104870591</v>
      </c>
    </row>
    <row r="16" spans="1:9" s="111" customFormat="1" x14ac:dyDescent="0.35">
      <c r="A16" s="62"/>
      <c r="B16" s="110"/>
      <c r="C16" s="62" t="s">
        <v>124</v>
      </c>
      <c r="D16" s="104">
        <f>AVERAGE(D13:D15)</f>
        <v>67.570000000000007</v>
      </c>
      <c r="E16" s="62"/>
      <c r="F16" s="104">
        <f>AVERAGE(F13:F15)</f>
        <v>90.339999999999989</v>
      </c>
      <c r="G16" s="104">
        <f t="shared" si="2"/>
        <v>33.698386858073079</v>
      </c>
    </row>
    <row r="17" spans="1:10" x14ac:dyDescent="0.35">
      <c r="A17" s="9"/>
      <c r="B17" s="109"/>
      <c r="C17" s="9"/>
      <c r="D17" s="9"/>
      <c r="E17" s="9"/>
      <c r="F17" s="109"/>
      <c r="G17" s="9"/>
    </row>
    <row r="18" spans="1:10" x14ac:dyDescent="0.35">
      <c r="A18" s="9" t="s">
        <v>129</v>
      </c>
      <c r="B18" s="109" t="s">
        <v>56</v>
      </c>
      <c r="C18" s="100">
        <v>43586</v>
      </c>
      <c r="D18" s="101">
        <v>109.4</v>
      </c>
      <c r="E18" s="100">
        <v>45870</v>
      </c>
      <c r="F18" s="101">
        <v>135.19999999999999</v>
      </c>
      <c r="G18" s="48">
        <f>(F18-D18)/D18*100</f>
        <v>23.583180987202908</v>
      </c>
    </row>
    <row r="19" spans="1:10" x14ac:dyDescent="0.35">
      <c r="A19" s="9"/>
      <c r="B19" s="109"/>
      <c r="C19" s="100">
        <v>43617</v>
      </c>
      <c r="D19" s="101">
        <v>108.4</v>
      </c>
      <c r="E19" s="100">
        <v>45901</v>
      </c>
      <c r="F19" s="101">
        <v>135.6</v>
      </c>
      <c r="G19" s="48">
        <f t="shared" ref="G19:G21" si="3">(F19-D19)/D19*100</f>
        <v>25.092250922509212</v>
      </c>
    </row>
    <row r="20" spans="1:10" x14ac:dyDescent="0.35">
      <c r="A20" s="9"/>
      <c r="B20" s="109"/>
      <c r="C20" s="100">
        <v>43647</v>
      </c>
      <c r="D20" s="101">
        <v>106.1</v>
      </c>
      <c r="E20" s="100">
        <v>45931</v>
      </c>
      <c r="F20" s="101">
        <v>134.4</v>
      </c>
      <c r="G20" s="48">
        <f t="shared" si="3"/>
        <v>26.672950047125365</v>
      </c>
    </row>
    <row r="21" spans="1:10" s="111" customFormat="1" x14ac:dyDescent="0.35">
      <c r="A21" s="62"/>
      <c r="B21" s="110"/>
      <c r="C21" s="62" t="s">
        <v>124</v>
      </c>
      <c r="D21" s="104">
        <f>AVERAGE(D18:D20)</f>
        <v>107.96666666666665</v>
      </c>
      <c r="E21" s="62"/>
      <c r="F21" s="104">
        <f>AVERAGE(F18:F20)</f>
        <v>135.06666666666663</v>
      </c>
      <c r="G21" s="104">
        <f t="shared" si="3"/>
        <v>25.100339610991028</v>
      </c>
    </row>
    <row r="22" spans="1:10" x14ac:dyDescent="0.35">
      <c r="A22" s="9"/>
      <c r="B22" s="109"/>
      <c r="C22" s="9"/>
      <c r="D22" s="9"/>
      <c r="E22" s="9"/>
      <c r="F22" s="109"/>
      <c r="G22" s="9"/>
    </row>
    <row r="23" spans="1:10" x14ac:dyDescent="0.35">
      <c r="A23" s="9" t="s">
        <v>130</v>
      </c>
      <c r="B23" s="109" t="s">
        <v>121</v>
      </c>
      <c r="C23" s="100">
        <v>43586</v>
      </c>
      <c r="D23" s="101">
        <v>123.2</v>
      </c>
      <c r="E23" s="100">
        <v>45870</v>
      </c>
      <c r="F23" s="101">
        <v>130.69999999999999</v>
      </c>
      <c r="G23" s="48">
        <f>(F23-D23)/D23*100</f>
        <v>6.0876623376623256</v>
      </c>
    </row>
    <row r="24" spans="1:10" x14ac:dyDescent="0.35">
      <c r="A24" s="9"/>
      <c r="B24" s="109"/>
      <c r="C24" s="100">
        <v>43617</v>
      </c>
      <c r="D24" s="101">
        <v>122.5</v>
      </c>
      <c r="E24" s="100">
        <v>45901</v>
      </c>
      <c r="F24" s="101">
        <v>130</v>
      </c>
      <c r="G24" s="48">
        <f t="shared" ref="G24:G26" si="4">(F24-D24)/D24*100</f>
        <v>6.1224489795918364</v>
      </c>
    </row>
    <row r="25" spans="1:10" x14ac:dyDescent="0.35">
      <c r="A25" s="9"/>
      <c r="B25" s="109"/>
      <c r="C25" s="100">
        <v>43647</v>
      </c>
      <c r="D25" s="101">
        <v>120.6</v>
      </c>
      <c r="E25" s="100">
        <v>45931</v>
      </c>
      <c r="F25" s="101">
        <v>128.5</v>
      </c>
      <c r="G25" s="48">
        <f t="shared" si="4"/>
        <v>6.5505804311774511</v>
      </c>
      <c r="J25" s="148">
        <f>(F25-D25)/D25*100</f>
        <v>6.5505804311774511</v>
      </c>
    </row>
    <row r="26" spans="1:10" s="111" customFormat="1" x14ac:dyDescent="0.35">
      <c r="A26" s="62"/>
      <c r="B26" s="110"/>
      <c r="C26" s="62" t="s">
        <v>124</v>
      </c>
      <c r="D26" s="104">
        <f>AVERAGE(D23:D25)</f>
        <v>122.09999999999998</v>
      </c>
      <c r="E26" s="62"/>
      <c r="F26" s="104">
        <f>AVERAGE(F23:F25)</f>
        <v>129.73333333333332</v>
      </c>
      <c r="G26" s="104">
        <f t="shared" si="4"/>
        <v>6.2517062517062589</v>
      </c>
    </row>
    <row r="27" spans="1:10" x14ac:dyDescent="0.35">
      <c r="G27" s="112">
        <f>(G6+G11+G16+G21+G26)/5</f>
        <v>26.909922965645762</v>
      </c>
    </row>
  </sheetData>
  <mergeCells count="3">
    <mergeCell ref="C2:D2"/>
    <mergeCell ref="E2:F2"/>
    <mergeCell ref="A1:G1"/>
  </mergeCells>
  <printOptions horizontalCentered="1"/>
  <pageMargins left="0.70866141732283472" right="0.41" top="0.74803149606299213" bottom="0.74803149606299213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FFFF00"/>
    <pageSetUpPr fitToPage="1"/>
  </sheetPr>
  <dimension ref="A1:S159"/>
  <sheetViews>
    <sheetView view="pageBreakPreview" zoomScaleNormal="100" zoomScaleSheetLayoutView="100" workbookViewId="0">
      <pane ySplit="3" topLeftCell="A44" activePane="bottomLeft" state="frozen"/>
      <selection pane="bottomLeft" activeCell="F44" sqref="F44"/>
    </sheetView>
  </sheetViews>
  <sheetFormatPr defaultColWidth="8" defaultRowHeight="14.5" x14ac:dyDescent="0.35"/>
  <cols>
    <col min="1" max="2" width="8" style="170"/>
    <col min="3" max="9" width="8" style="178"/>
    <col min="10" max="10" width="9.58203125" style="178" customWidth="1"/>
    <col min="11" max="16384" width="8" style="170"/>
  </cols>
  <sheetData>
    <row r="1" spans="1:19" s="152" customFormat="1" ht="23.25" customHeight="1" x14ac:dyDescent="0.35">
      <c r="A1" s="237" t="s">
        <v>182</v>
      </c>
      <c r="B1" s="237"/>
      <c r="C1" s="237"/>
      <c r="D1" s="237"/>
      <c r="E1" s="237"/>
      <c r="F1" s="237"/>
      <c r="G1" s="237"/>
      <c r="H1" s="237"/>
      <c r="I1" s="237"/>
      <c r="J1" s="237"/>
      <c r="L1" s="230" t="s">
        <v>182</v>
      </c>
      <c r="M1" s="230"/>
      <c r="N1" s="230"/>
      <c r="O1" s="230"/>
      <c r="P1" s="230"/>
      <c r="Q1" s="230"/>
      <c r="R1" s="230"/>
      <c r="S1" s="230"/>
    </row>
    <row r="2" spans="1:19" s="152" customFormat="1" ht="15.75" customHeight="1" x14ac:dyDescent="0.35">
      <c r="A2" s="230" t="s">
        <v>71</v>
      </c>
      <c r="B2" s="230" t="s">
        <v>4</v>
      </c>
      <c r="C2" s="231" t="s">
        <v>125</v>
      </c>
      <c r="D2" s="232"/>
      <c r="E2" s="232"/>
      <c r="F2" s="232"/>
      <c r="G2" s="232"/>
      <c r="H2" s="232"/>
      <c r="I2" s="232"/>
      <c r="J2" s="233"/>
      <c r="L2" s="230" t="s">
        <v>71</v>
      </c>
      <c r="M2" s="230" t="s">
        <v>4</v>
      </c>
      <c r="N2" s="230" t="s">
        <v>125</v>
      </c>
      <c r="O2" s="230"/>
      <c r="P2" s="230"/>
      <c r="Q2" s="230"/>
      <c r="R2" s="230"/>
      <c r="S2" s="230"/>
    </row>
    <row r="3" spans="1:19" s="156" customFormat="1" ht="33.75" customHeight="1" x14ac:dyDescent="0.35">
      <c r="A3" s="230"/>
      <c r="B3" s="230"/>
      <c r="C3" s="234" t="s">
        <v>167</v>
      </c>
      <c r="D3" s="235"/>
      <c r="E3" s="236"/>
      <c r="F3" s="154" t="s">
        <v>168</v>
      </c>
      <c r="G3" s="154" t="s">
        <v>169</v>
      </c>
      <c r="H3" s="154" t="s">
        <v>170</v>
      </c>
      <c r="I3" s="154" t="s">
        <v>171</v>
      </c>
      <c r="J3" s="155" t="s">
        <v>172</v>
      </c>
      <c r="L3" s="230"/>
      <c r="M3" s="230"/>
      <c r="N3" s="153" t="s">
        <v>167</v>
      </c>
      <c r="O3" s="154" t="s">
        <v>168</v>
      </c>
      <c r="P3" s="154" t="s">
        <v>169</v>
      </c>
      <c r="Q3" s="154" t="s">
        <v>170</v>
      </c>
      <c r="R3" s="154" t="s">
        <v>171</v>
      </c>
      <c r="S3" s="155" t="s">
        <v>172</v>
      </c>
    </row>
    <row r="4" spans="1:19" s="156" customFormat="1" ht="33.75" customHeight="1" x14ac:dyDescent="0.35">
      <c r="A4" s="157"/>
      <c r="B4" s="157"/>
      <c r="C4" s="153" t="s">
        <v>191</v>
      </c>
      <c r="D4" s="181" t="s">
        <v>192</v>
      </c>
      <c r="E4" s="182" t="s">
        <v>193</v>
      </c>
      <c r="F4" s="154"/>
      <c r="G4" s="154"/>
      <c r="H4" s="154"/>
      <c r="I4" s="154"/>
      <c r="J4" s="155"/>
      <c r="L4" s="157"/>
      <c r="M4" s="157"/>
      <c r="N4" s="153"/>
      <c r="O4" s="154"/>
      <c r="P4" s="154"/>
      <c r="Q4" s="154"/>
      <c r="R4" s="154"/>
      <c r="S4" s="155"/>
    </row>
    <row r="5" spans="1:19" s="158" customFormat="1" ht="16.5" customHeight="1" x14ac:dyDescent="0.35">
      <c r="A5" s="157"/>
      <c r="B5" s="157">
        <v>1</v>
      </c>
      <c r="C5" s="157">
        <v>2</v>
      </c>
      <c r="D5" s="157"/>
      <c r="E5" s="157"/>
      <c r="F5" s="157">
        <v>3</v>
      </c>
      <c r="G5" s="157">
        <v>4</v>
      </c>
      <c r="H5" s="157">
        <v>5</v>
      </c>
      <c r="I5" s="157">
        <v>6</v>
      </c>
      <c r="J5" s="157">
        <v>7</v>
      </c>
      <c r="L5" s="157"/>
      <c r="M5" s="157">
        <v>1</v>
      </c>
      <c r="N5" s="157">
        <v>2</v>
      </c>
      <c r="O5" s="157">
        <v>3</v>
      </c>
      <c r="P5" s="157">
        <v>4</v>
      </c>
      <c r="Q5" s="157">
        <v>5</v>
      </c>
      <c r="R5" s="157">
        <v>6</v>
      </c>
      <c r="S5" s="157">
        <v>7</v>
      </c>
    </row>
    <row r="6" spans="1:19" s="152" customFormat="1" x14ac:dyDescent="0.35">
      <c r="A6" s="159">
        <v>1</v>
      </c>
      <c r="B6" s="160">
        <v>41275</v>
      </c>
      <c r="C6" s="161">
        <v>227</v>
      </c>
      <c r="D6" s="161">
        <v>1</v>
      </c>
      <c r="E6" s="161">
        <f>C6*D6</f>
        <v>227</v>
      </c>
      <c r="F6" s="159">
        <v>53.64</v>
      </c>
      <c r="G6" s="161">
        <v>108</v>
      </c>
      <c r="H6" s="161">
        <v>100.1</v>
      </c>
      <c r="I6" s="161">
        <v>103.3</v>
      </c>
      <c r="J6" s="161">
        <v>104.9</v>
      </c>
      <c r="L6" s="159">
        <v>1</v>
      </c>
      <c r="M6" s="160">
        <v>41275</v>
      </c>
      <c r="N6" s="161">
        <v>227</v>
      </c>
      <c r="O6" s="159">
        <v>53.64</v>
      </c>
      <c r="P6" s="161">
        <v>108</v>
      </c>
      <c r="Q6" s="161">
        <v>100.1</v>
      </c>
      <c r="R6" s="161">
        <v>103.3</v>
      </c>
      <c r="S6" s="161">
        <v>104.9</v>
      </c>
    </row>
    <row r="7" spans="1:19" s="152" customFormat="1" x14ac:dyDescent="0.35">
      <c r="A7" s="159">
        <v>2</v>
      </c>
      <c r="B7" s="160">
        <v>41306</v>
      </c>
      <c r="C7" s="161">
        <v>228</v>
      </c>
      <c r="D7" s="161">
        <v>1</v>
      </c>
      <c r="E7" s="161">
        <f t="shared" ref="E7:E70" si="0">C7*D7</f>
        <v>228</v>
      </c>
      <c r="F7" s="159">
        <v>54.17</v>
      </c>
      <c r="G7" s="161">
        <v>108.4</v>
      </c>
      <c r="H7" s="161">
        <v>101.2</v>
      </c>
      <c r="I7" s="161">
        <v>104.3</v>
      </c>
      <c r="J7" s="161">
        <v>105.7</v>
      </c>
      <c r="L7" s="159">
        <v>2</v>
      </c>
      <c r="M7" s="160">
        <v>41306</v>
      </c>
      <c r="N7" s="161">
        <v>228</v>
      </c>
      <c r="O7" s="159">
        <v>54.17</v>
      </c>
      <c r="P7" s="161">
        <v>108.4</v>
      </c>
      <c r="Q7" s="161">
        <v>101.2</v>
      </c>
      <c r="R7" s="161">
        <v>104.3</v>
      </c>
      <c r="S7" s="161">
        <v>105.7</v>
      </c>
    </row>
    <row r="8" spans="1:19" s="152" customFormat="1" x14ac:dyDescent="0.35">
      <c r="A8" s="159">
        <v>3</v>
      </c>
      <c r="B8" s="160">
        <v>41334</v>
      </c>
      <c r="C8" s="161">
        <v>227</v>
      </c>
      <c r="D8" s="161">
        <v>1</v>
      </c>
      <c r="E8" s="161">
        <f t="shared" si="0"/>
        <v>227</v>
      </c>
      <c r="F8" s="159">
        <v>54.77</v>
      </c>
      <c r="G8" s="161">
        <v>108.6</v>
      </c>
      <c r="H8" s="161">
        <v>99.9</v>
      </c>
      <c r="I8" s="161">
        <v>103.8</v>
      </c>
      <c r="J8" s="161">
        <v>108.2</v>
      </c>
      <c r="L8" s="159">
        <v>3</v>
      </c>
      <c r="M8" s="160">
        <v>41334</v>
      </c>
      <c r="N8" s="161">
        <v>227</v>
      </c>
      <c r="O8" s="159">
        <v>54.77</v>
      </c>
      <c r="P8" s="161">
        <v>108.6</v>
      </c>
      <c r="Q8" s="161">
        <v>99.9</v>
      </c>
      <c r="R8" s="161">
        <v>103.8</v>
      </c>
      <c r="S8" s="161">
        <v>108.2</v>
      </c>
    </row>
    <row r="9" spans="1:19" s="152" customFormat="1" x14ac:dyDescent="0.35">
      <c r="A9" s="159">
        <v>4</v>
      </c>
      <c r="B9" s="160">
        <v>41365</v>
      </c>
      <c r="C9" s="161">
        <v>230</v>
      </c>
      <c r="D9" s="161">
        <v>1</v>
      </c>
      <c r="E9" s="161">
        <f t="shared" si="0"/>
        <v>230</v>
      </c>
      <c r="F9" s="159">
        <v>54.77</v>
      </c>
      <c r="G9" s="161">
        <v>108.6</v>
      </c>
      <c r="H9" s="161">
        <v>100</v>
      </c>
      <c r="I9" s="161">
        <v>102.5</v>
      </c>
      <c r="J9" s="161">
        <v>106.9</v>
      </c>
      <c r="L9" s="159">
        <v>4</v>
      </c>
      <c r="M9" s="160">
        <v>41365</v>
      </c>
      <c r="N9" s="161">
        <v>230</v>
      </c>
      <c r="O9" s="159">
        <v>54.77</v>
      </c>
      <c r="P9" s="161">
        <v>108.6</v>
      </c>
      <c r="Q9" s="161">
        <v>100</v>
      </c>
      <c r="R9" s="161">
        <v>102.5</v>
      </c>
      <c r="S9" s="161">
        <v>106.9</v>
      </c>
    </row>
    <row r="10" spans="1:19" s="152" customFormat="1" x14ac:dyDescent="0.35">
      <c r="A10" s="159">
        <v>5</v>
      </c>
      <c r="B10" s="160">
        <v>41395</v>
      </c>
      <c r="C10" s="161">
        <v>232</v>
      </c>
      <c r="D10" s="161">
        <v>1</v>
      </c>
      <c r="E10" s="161">
        <f t="shared" si="0"/>
        <v>232</v>
      </c>
      <c r="F10" s="159">
        <v>55.95</v>
      </c>
      <c r="G10" s="161">
        <v>108.6</v>
      </c>
      <c r="H10" s="161">
        <v>98.9</v>
      </c>
      <c r="I10" s="161">
        <v>103.6</v>
      </c>
      <c r="J10" s="161">
        <v>105.7</v>
      </c>
      <c r="L10" s="159">
        <v>5</v>
      </c>
      <c r="M10" s="160">
        <v>41395</v>
      </c>
      <c r="N10" s="161">
        <v>232</v>
      </c>
      <c r="O10" s="159">
        <v>55.95</v>
      </c>
      <c r="P10" s="161">
        <v>108.6</v>
      </c>
      <c r="Q10" s="161">
        <v>98.9</v>
      </c>
      <c r="R10" s="161">
        <v>103.6</v>
      </c>
      <c r="S10" s="161">
        <v>105.7</v>
      </c>
    </row>
    <row r="11" spans="1:19" s="152" customFormat="1" x14ac:dyDescent="0.35">
      <c r="A11" s="159">
        <v>6</v>
      </c>
      <c r="B11" s="160">
        <v>41426</v>
      </c>
      <c r="C11" s="161">
        <v>240</v>
      </c>
      <c r="D11" s="161">
        <v>1</v>
      </c>
      <c r="E11" s="161">
        <f t="shared" si="0"/>
        <v>240</v>
      </c>
      <c r="F11" s="159">
        <v>57.68</v>
      </c>
      <c r="G11" s="161">
        <v>110.1</v>
      </c>
      <c r="H11" s="161">
        <v>98.5</v>
      </c>
      <c r="I11" s="161">
        <v>106</v>
      </c>
      <c r="J11" s="161">
        <v>106.8</v>
      </c>
      <c r="L11" s="159">
        <v>6</v>
      </c>
      <c r="M11" s="160">
        <v>41426</v>
      </c>
      <c r="N11" s="161">
        <v>240</v>
      </c>
      <c r="O11" s="159">
        <v>57.68</v>
      </c>
      <c r="P11" s="161">
        <v>110.1</v>
      </c>
      <c r="Q11" s="161">
        <v>98.5</v>
      </c>
      <c r="R11" s="161">
        <v>106</v>
      </c>
      <c r="S11" s="161">
        <v>106.8</v>
      </c>
    </row>
    <row r="12" spans="1:19" s="152" customFormat="1" x14ac:dyDescent="0.35">
      <c r="A12" s="159">
        <v>7</v>
      </c>
      <c r="B12" s="160">
        <v>41456</v>
      </c>
      <c r="C12" s="161">
        <v>239</v>
      </c>
      <c r="D12" s="161">
        <v>1</v>
      </c>
      <c r="E12" s="161">
        <f t="shared" si="0"/>
        <v>239</v>
      </c>
      <c r="F12" s="159">
        <v>58.28</v>
      </c>
      <c r="G12" s="161">
        <v>111.2</v>
      </c>
      <c r="H12" s="161">
        <v>97.4</v>
      </c>
      <c r="I12" s="161">
        <v>105.8</v>
      </c>
      <c r="J12" s="161">
        <v>107.3</v>
      </c>
      <c r="L12" s="159">
        <v>7</v>
      </c>
      <c r="M12" s="160">
        <v>41456</v>
      </c>
      <c r="N12" s="161">
        <v>239</v>
      </c>
      <c r="O12" s="159">
        <v>58.28</v>
      </c>
      <c r="P12" s="161">
        <v>111.2</v>
      </c>
      <c r="Q12" s="161">
        <v>97.4</v>
      </c>
      <c r="R12" s="161">
        <v>105.8</v>
      </c>
      <c r="S12" s="161">
        <v>107.3</v>
      </c>
    </row>
    <row r="13" spans="1:19" s="152" customFormat="1" x14ac:dyDescent="0.35">
      <c r="A13" s="159">
        <v>8</v>
      </c>
      <c r="B13" s="160">
        <v>41487</v>
      </c>
      <c r="C13" s="161">
        <v>244</v>
      </c>
      <c r="D13" s="161">
        <v>1</v>
      </c>
      <c r="E13" s="161">
        <f t="shared" si="0"/>
        <v>244</v>
      </c>
      <c r="F13" s="161">
        <v>58.15</v>
      </c>
      <c r="G13" s="161">
        <v>112.9</v>
      </c>
      <c r="H13" s="161">
        <v>96.9</v>
      </c>
      <c r="I13" s="161">
        <v>103.4</v>
      </c>
      <c r="J13" s="161">
        <v>107.9</v>
      </c>
      <c r="L13" s="159">
        <v>8</v>
      </c>
      <c r="M13" s="160">
        <v>41487</v>
      </c>
      <c r="N13" s="161">
        <v>244</v>
      </c>
      <c r="O13" s="161">
        <v>58.15</v>
      </c>
      <c r="P13" s="161">
        <v>112.9</v>
      </c>
      <c r="Q13" s="161">
        <v>96.9</v>
      </c>
      <c r="R13" s="161">
        <v>103.4</v>
      </c>
      <c r="S13" s="161">
        <v>107.9</v>
      </c>
    </row>
    <row r="14" spans="1:19" s="152" customFormat="1" x14ac:dyDescent="0.35">
      <c r="A14" s="159">
        <v>9</v>
      </c>
      <c r="B14" s="160">
        <v>41518</v>
      </c>
      <c r="C14" s="161">
        <v>242</v>
      </c>
      <c r="D14" s="161">
        <v>1</v>
      </c>
      <c r="E14" s="161">
        <f t="shared" si="0"/>
        <v>242</v>
      </c>
      <c r="F14" s="161">
        <v>58.83</v>
      </c>
      <c r="G14" s="161">
        <v>114.3</v>
      </c>
      <c r="H14" s="161">
        <v>97.7</v>
      </c>
      <c r="I14" s="161">
        <v>103.5</v>
      </c>
      <c r="J14" s="161">
        <v>110.2</v>
      </c>
      <c r="L14" s="159">
        <v>9</v>
      </c>
      <c r="M14" s="160">
        <v>41518</v>
      </c>
      <c r="N14" s="161">
        <v>242</v>
      </c>
      <c r="O14" s="161">
        <v>58.83</v>
      </c>
      <c r="P14" s="161">
        <v>114.3</v>
      </c>
      <c r="Q14" s="161">
        <v>97.7</v>
      </c>
      <c r="R14" s="161">
        <v>103.5</v>
      </c>
      <c r="S14" s="161">
        <v>110.2</v>
      </c>
    </row>
    <row r="15" spans="1:19" s="152" customFormat="1" x14ac:dyDescent="0.35">
      <c r="A15" s="159">
        <v>10</v>
      </c>
      <c r="B15" s="160">
        <v>41548</v>
      </c>
      <c r="C15" s="161">
        <v>243</v>
      </c>
      <c r="D15" s="161">
        <v>1</v>
      </c>
      <c r="E15" s="161">
        <f t="shared" si="0"/>
        <v>243</v>
      </c>
      <c r="F15" s="159">
        <v>58.83</v>
      </c>
      <c r="G15" s="161">
        <v>114.6</v>
      </c>
      <c r="H15" s="161">
        <v>98.3</v>
      </c>
      <c r="I15" s="161">
        <v>104.8</v>
      </c>
      <c r="J15" s="161">
        <v>107</v>
      </c>
      <c r="L15" s="159">
        <v>10</v>
      </c>
      <c r="M15" s="160">
        <v>41548</v>
      </c>
      <c r="N15" s="161">
        <v>243</v>
      </c>
      <c r="O15" s="159">
        <v>58.83</v>
      </c>
      <c r="P15" s="161">
        <v>114.6</v>
      </c>
      <c r="Q15" s="161">
        <v>98.3</v>
      </c>
      <c r="R15" s="161">
        <v>104.8</v>
      </c>
      <c r="S15" s="161">
        <v>107</v>
      </c>
    </row>
    <row r="16" spans="1:19" s="152" customFormat="1" x14ac:dyDescent="0.35">
      <c r="A16" s="159">
        <v>11</v>
      </c>
      <c r="B16" s="160">
        <v>41579</v>
      </c>
      <c r="C16" s="161">
        <v>246</v>
      </c>
      <c r="D16" s="161">
        <v>1</v>
      </c>
      <c r="E16" s="161">
        <f t="shared" si="0"/>
        <v>246</v>
      </c>
      <c r="F16" s="159">
        <v>59.98</v>
      </c>
      <c r="G16" s="161">
        <v>114.3</v>
      </c>
      <c r="H16" s="161">
        <v>98.1</v>
      </c>
      <c r="I16" s="161">
        <v>103.3</v>
      </c>
      <c r="J16" s="161">
        <v>109.1</v>
      </c>
      <c r="L16" s="159">
        <v>11</v>
      </c>
      <c r="M16" s="160">
        <v>41579</v>
      </c>
      <c r="N16" s="161">
        <v>246</v>
      </c>
      <c r="O16" s="159">
        <v>59.98</v>
      </c>
      <c r="P16" s="161">
        <v>114.3</v>
      </c>
      <c r="Q16" s="161">
        <v>98.1</v>
      </c>
      <c r="R16" s="161">
        <v>103.3</v>
      </c>
      <c r="S16" s="161">
        <v>109.1</v>
      </c>
    </row>
    <row r="17" spans="1:19" s="152" customFormat="1" x14ac:dyDescent="0.35">
      <c r="A17" s="159">
        <v>12</v>
      </c>
      <c r="B17" s="160">
        <v>41609</v>
      </c>
      <c r="C17" s="161">
        <v>246</v>
      </c>
      <c r="D17" s="161">
        <v>1</v>
      </c>
      <c r="E17" s="161">
        <f t="shared" si="0"/>
        <v>246</v>
      </c>
      <c r="F17" s="159">
        <v>60.75</v>
      </c>
      <c r="G17" s="161">
        <v>113.4</v>
      </c>
      <c r="H17" s="161">
        <v>98.5</v>
      </c>
      <c r="I17" s="161">
        <v>102.4</v>
      </c>
      <c r="J17" s="161">
        <v>107.3</v>
      </c>
      <c r="L17" s="159">
        <v>12</v>
      </c>
      <c r="M17" s="160">
        <v>41609</v>
      </c>
      <c r="N17" s="161">
        <v>246</v>
      </c>
      <c r="O17" s="159">
        <v>60.75</v>
      </c>
      <c r="P17" s="161">
        <v>113.4</v>
      </c>
      <c r="Q17" s="161">
        <v>98.5</v>
      </c>
      <c r="R17" s="161">
        <v>102.4</v>
      </c>
      <c r="S17" s="161">
        <v>107.3</v>
      </c>
    </row>
    <row r="18" spans="1:19" s="152" customFormat="1" x14ac:dyDescent="0.35">
      <c r="A18" s="159">
        <v>13</v>
      </c>
      <c r="B18" s="160">
        <v>41640</v>
      </c>
      <c r="C18" s="161">
        <v>246</v>
      </c>
      <c r="D18" s="161">
        <v>1</v>
      </c>
      <c r="E18" s="161">
        <f t="shared" si="0"/>
        <v>246</v>
      </c>
      <c r="F18" s="159">
        <v>61.33</v>
      </c>
      <c r="G18" s="161">
        <v>113.6</v>
      </c>
      <c r="H18" s="161">
        <v>99.5</v>
      </c>
      <c r="I18" s="161">
        <v>102.6</v>
      </c>
      <c r="J18" s="161">
        <v>106.6</v>
      </c>
      <c r="L18" s="159">
        <v>13</v>
      </c>
      <c r="M18" s="160">
        <v>41640</v>
      </c>
      <c r="N18" s="161">
        <v>246</v>
      </c>
      <c r="O18" s="159">
        <v>61.33</v>
      </c>
      <c r="P18" s="161">
        <v>113.6</v>
      </c>
      <c r="Q18" s="161">
        <v>99.5</v>
      </c>
      <c r="R18" s="161">
        <v>102.6</v>
      </c>
      <c r="S18" s="161">
        <v>106.6</v>
      </c>
    </row>
    <row r="19" spans="1:19" s="152" customFormat="1" x14ac:dyDescent="0.35">
      <c r="A19" s="159">
        <v>14</v>
      </c>
      <c r="B19" s="160">
        <v>41671</v>
      </c>
      <c r="C19" s="161">
        <v>248</v>
      </c>
      <c r="D19" s="161">
        <v>1</v>
      </c>
      <c r="E19" s="161">
        <f t="shared" si="0"/>
        <v>248</v>
      </c>
      <c r="F19" s="159">
        <v>63.16</v>
      </c>
      <c r="G19" s="161">
        <v>113.6</v>
      </c>
      <c r="H19" s="161">
        <v>100.5</v>
      </c>
      <c r="I19" s="161">
        <v>106.4</v>
      </c>
      <c r="J19" s="161">
        <v>106.8</v>
      </c>
      <c r="L19" s="159">
        <v>14</v>
      </c>
      <c r="M19" s="160">
        <v>41671</v>
      </c>
      <c r="N19" s="161">
        <v>248</v>
      </c>
      <c r="O19" s="159">
        <v>63.16</v>
      </c>
      <c r="P19" s="161">
        <v>113.6</v>
      </c>
      <c r="Q19" s="161">
        <v>100.5</v>
      </c>
      <c r="R19" s="161">
        <v>106.4</v>
      </c>
      <c r="S19" s="161">
        <v>106.8</v>
      </c>
    </row>
    <row r="20" spans="1:19" s="152" customFormat="1" x14ac:dyDescent="0.35">
      <c r="A20" s="159">
        <v>15</v>
      </c>
      <c r="B20" s="160">
        <v>41699</v>
      </c>
      <c r="C20" s="161">
        <v>248</v>
      </c>
      <c r="D20" s="161">
        <v>1</v>
      </c>
      <c r="E20" s="161">
        <f t="shared" si="0"/>
        <v>248</v>
      </c>
      <c r="F20" s="159">
        <v>63.78</v>
      </c>
      <c r="G20" s="161">
        <v>114.3</v>
      </c>
      <c r="H20" s="161">
        <v>101.3</v>
      </c>
      <c r="I20" s="161">
        <v>107.4</v>
      </c>
      <c r="J20" s="161">
        <v>107.6</v>
      </c>
      <c r="L20" s="159">
        <v>15</v>
      </c>
      <c r="M20" s="160">
        <v>41699</v>
      </c>
      <c r="N20" s="161">
        <v>248</v>
      </c>
      <c r="O20" s="159">
        <v>63.78</v>
      </c>
      <c r="P20" s="161">
        <v>114.3</v>
      </c>
      <c r="Q20" s="161">
        <v>101.3</v>
      </c>
      <c r="R20" s="161">
        <v>107.4</v>
      </c>
      <c r="S20" s="161">
        <v>107.6</v>
      </c>
    </row>
    <row r="21" spans="1:19" s="152" customFormat="1" x14ac:dyDescent="0.35">
      <c r="A21" s="159">
        <v>16</v>
      </c>
      <c r="B21" s="160">
        <v>41730</v>
      </c>
      <c r="C21" s="161">
        <v>250</v>
      </c>
      <c r="D21" s="161">
        <v>1</v>
      </c>
      <c r="E21" s="161">
        <f t="shared" si="0"/>
        <v>250</v>
      </c>
      <c r="F21" s="159">
        <v>63.78</v>
      </c>
      <c r="G21" s="161">
        <v>114.1</v>
      </c>
      <c r="H21" s="161">
        <v>101.8</v>
      </c>
      <c r="I21" s="161">
        <v>109.8</v>
      </c>
      <c r="J21" s="161">
        <v>108.3</v>
      </c>
      <c r="L21" s="159">
        <v>16</v>
      </c>
      <c r="M21" s="160">
        <v>41730</v>
      </c>
      <c r="N21" s="161">
        <v>250</v>
      </c>
      <c r="O21" s="159">
        <v>63.78</v>
      </c>
      <c r="P21" s="161">
        <v>114.1</v>
      </c>
      <c r="Q21" s="161">
        <v>101.8</v>
      </c>
      <c r="R21" s="161">
        <v>109.8</v>
      </c>
      <c r="S21" s="161">
        <v>108.3</v>
      </c>
    </row>
    <row r="22" spans="1:19" s="152" customFormat="1" x14ac:dyDescent="0.35">
      <c r="A22" s="159">
        <v>17</v>
      </c>
      <c r="B22" s="160">
        <v>41760</v>
      </c>
      <c r="C22" s="161">
        <v>253</v>
      </c>
      <c r="D22" s="161">
        <v>1</v>
      </c>
      <c r="E22" s="161">
        <f t="shared" si="0"/>
        <v>253</v>
      </c>
      <c r="F22" s="159">
        <v>65.14</v>
      </c>
      <c r="G22" s="161">
        <v>114.8</v>
      </c>
      <c r="H22" s="161">
        <v>102.9</v>
      </c>
      <c r="I22" s="161">
        <v>107.9</v>
      </c>
      <c r="J22" s="161">
        <v>108.4</v>
      </c>
      <c r="L22" s="159">
        <v>17</v>
      </c>
      <c r="M22" s="160">
        <v>41760</v>
      </c>
      <c r="N22" s="161">
        <v>253</v>
      </c>
      <c r="O22" s="159">
        <v>65.14</v>
      </c>
      <c r="P22" s="161">
        <v>114.8</v>
      </c>
      <c r="Q22" s="161">
        <v>102.9</v>
      </c>
      <c r="R22" s="161">
        <v>107.9</v>
      </c>
      <c r="S22" s="161">
        <v>108.4</v>
      </c>
    </row>
    <row r="23" spans="1:19" s="152" customFormat="1" x14ac:dyDescent="0.35">
      <c r="A23" s="159">
        <v>18</v>
      </c>
      <c r="B23" s="160">
        <v>41791</v>
      </c>
      <c r="C23" s="161">
        <v>252</v>
      </c>
      <c r="D23" s="161">
        <v>1</v>
      </c>
      <c r="E23" s="161">
        <f t="shared" si="0"/>
        <v>252</v>
      </c>
      <c r="F23" s="159">
        <v>65.739999999999995</v>
      </c>
      <c r="G23" s="161">
        <v>115.2</v>
      </c>
      <c r="H23" s="161">
        <v>104.3</v>
      </c>
      <c r="I23" s="161">
        <v>110.4</v>
      </c>
      <c r="J23" s="161">
        <v>107.8</v>
      </c>
      <c r="L23" s="159">
        <v>18</v>
      </c>
      <c r="M23" s="160">
        <v>41791</v>
      </c>
      <c r="N23" s="161">
        <v>252</v>
      </c>
      <c r="O23" s="159">
        <v>65.739999999999995</v>
      </c>
      <c r="P23" s="161">
        <v>115.2</v>
      </c>
      <c r="Q23" s="161">
        <v>104.3</v>
      </c>
      <c r="R23" s="161">
        <v>110.4</v>
      </c>
      <c r="S23" s="161">
        <v>107.8</v>
      </c>
    </row>
    <row r="24" spans="1:19" s="152" customFormat="1" x14ac:dyDescent="0.35">
      <c r="A24" s="159">
        <v>19</v>
      </c>
      <c r="B24" s="160">
        <v>41821</v>
      </c>
      <c r="C24" s="162">
        <v>256</v>
      </c>
      <c r="D24" s="161">
        <v>1</v>
      </c>
      <c r="E24" s="161">
        <f t="shared" si="0"/>
        <v>256</v>
      </c>
      <c r="F24" s="163">
        <v>65.989999999999995</v>
      </c>
      <c r="G24" s="164">
        <v>116.7</v>
      </c>
      <c r="H24" s="164">
        <v>104.1</v>
      </c>
      <c r="I24" s="164">
        <v>114</v>
      </c>
      <c r="J24" s="161">
        <v>108.3</v>
      </c>
      <c r="L24" s="159">
        <v>19</v>
      </c>
      <c r="M24" s="160">
        <v>41821</v>
      </c>
      <c r="N24" s="162">
        <v>256</v>
      </c>
      <c r="O24" s="163">
        <v>65.989999999999995</v>
      </c>
      <c r="P24" s="164">
        <v>116.7</v>
      </c>
      <c r="Q24" s="164">
        <v>104.1</v>
      </c>
      <c r="R24" s="164">
        <v>114</v>
      </c>
      <c r="S24" s="161">
        <v>108.3</v>
      </c>
    </row>
    <row r="25" spans="1:19" s="152" customFormat="1" x14ac:dyDescent="0.35">
      <c r="A25" s="159">
        <v>20</v>
      </c>
      <c r="B25" s="160">
        <v>41852</v>
      </c>
      <c r="C25" s="162">
        <v>260</v>
      </c>
      <c r="D25" s="161">
        <v>1</v>
      </c>
      <c r="E25" s="161">
        <f t="shared" si="0"/>
        <v>260</v>
      </c>
      <c r="F25" s="164">
        <f>(66.55+67.24)/2</f>
        <v>66.894999999999996</v>
      </c>
      <c r="G25" s="164">
        <v>117.2</v>
      </c>
      <c r="H25" s="164">
        <v>102.2</v>
      </c>
      <c r="I25" s="164">
        <v>112</v>
      </c>
      <c r="J25" s="161">
        <v>107.2</v>
      </c>
      <c r="L25" s="159">
        <v>20</v>
      </c>
      <c r="M25" s="160">
        <v>41852</v>
      </c>
      <c r="N25" s="162">
        <v>260</v>
      </c>
      <c r="O25" s="164">
        <f>(66.55+67.24)/2</f>
        <v>66.894999999999996</v>
      </c>
      <c r="P25" s="164">
        <v>117.2</v>
      </c>
      <c r="Q25" s="164">
        <v>102.2</v>
      </c>
      <c r="R25" s="164">
        <v>112</v>
      </c>
      <c r="S25" s="161">
        <v>107.2</v>
      </c>
    </row>
    <row r="26" spans="1:19" s="152" customFormat="1" x14ac:dyDescent="0.35">
      <c r="A26" s="159">
        <v>21</v>
      </c>
      <c r="B26" s="160">
        <v>41883</v>
      </c>
      <c r="C26" s="162">
        <v>261</v>
      </c>
      <c r="D26" s="161">
        <v>1</v>
      </c>
      <c r="E26" s="161">
        <f t="shared" si="0"/>
        <v>261</v>
      </c>
      <c r="F26" s="163">
        <v>67.239999999999995</v>
      </c>
      <c r="G26" s="164">
        <v>116.4</v>
      </c>
      <c r="H26" s="164">
        <v>101.9</v>
      </c>
      <c r="I26" s="164">
        <v>109.5</v>
      </c>
      <c r="J26" s="161">
        <v>108.3</v>
      </c>
      <c r="L26" s="159">
        <v>21</v>
      </c>
      <c r="M26" s="160">
        <v>41883</v>
      </c>
      <c r="N26" s="162">
        <v>261</v>
      </c>
      <c r="O26" s="163">
        <v>67.239999999999995</v>
      </c>
      <c r="P26" s="164">
        <v>116.4</v>
      </c>
      <c r="Q26" s="164">
        <v>101.9</v>
      </c>
      <c r="R26" s="164">
        <v>109.5</v>
      </c>
      <c r="S26" s="161">
        <v>108.3</v>
      </c>
    </row>
    <row r="27" spans="1:19" s="152" customFormat="1" x14ac:dyDescent="0.35">
      <c r="A27" s="159">
        <v>22</v>
      </c>
      <c r="B27" s="160">
        <v>41913</v>
      </c>
      <c r="C27" s="162">
        <v>259</v>
      </c>
      <c r="D27" s="161">
        <v>1</v>
      </c>
      <c r="E27" s="161">
        <f t="shared" si="0"/>
        <v>259</v>
      </c>
      <c r="F27" s="163">
        <v>63.52</v>
      </c>
      <c r="G27" s="164">
        <v>115.6</v>
      </c>
      <c r="H27" s="164">
        <v>102.2</v>
      </c>
      <c r="I27" s="164">
        <v>109.5</v>
      </c>
      <c r="J27" s="161">
        <v>109.3</v>
      </c>
      <c r="L27" s="159">
        <v>22</v>
      </c>
      <c r="M27" s="160">
        <v>41913</v>
      </c>
      <c r="N27" s="162">
        <v>259</v>
      </c>
      <c r="O27" s="163">
        <v>63.52</v>
      </c>
      <c r="P27" s="164">
        <v>115.6</v>
      </c>
      <c r="Q27" s="164">
        <v>102.2</v>
      </c>
      <c r="R27" s="164">
        <v>109.5</v>
      </c>
      <c r="S27" s="161">
        <v>109.3</v>
      </c>
    </row>
    <row r="28" spans="1:19" s="152" customFormat="1" x14ac:dyDescent="0.35">
      <c r="A28" s="159">
        <v>23</v>
      </c>
      <c r="B28" s="160">
        <v>41944</v>
      </c>
      <c r="C28" s="162">
        <v>258</v>
      </c>
      <c r="D28" s="161">
        <v>1</v>
      </c>
      <c r="E28" s="161">
        <f t="shared" si="0"/>
        <v>258</v>
      </c>
      <c r="F28" s="163">
        <v>61.27</v>
      </c>
      <c r="G28" s="164">
        <v>114.1</v>
      </c>
      <c r="H28" s="164">
        <v>100.6</v>
      </c>
      <c r="I28" s="164">
        <v>106.7</v>
      </c>
      <c r="J28" s="161">
        <v>109</v>
      </c>
      <c r="L28" s="159">
        <v>23</v>
      </c>
      <c r="M28" s="160">
        <v>41944</v>
      </c>
      <c r="N28" s="162">
        <v>258</v>
      </c>
      <c r="O28" s="163">
        <v>61.27</v>
      </c>
      <c r="P28" s="164">
        <v>114.1</v>
      </c>
      <c r="Q28" s="164">
        <v>100.6</v>
      </c>
      <c r="R28" s="164">
        <v>106.7</v>
      </c>
      <c r="S28" s="161">
        <v>109</v>
      </c>
    </row>
    <row r="29" spans="1:19" s="152" customFormat="1" x14ac:dyDescent="0.35">
      <c r="A29" s="159">
        <v>24</v>
      </c>
      <c r="B29" s="160">
        <v>41974</v>
      </c>
      <c r="C29" s="162">
        <v>258</v>
      </c>
      <c r="D29" s="161">
        <v>1</v>
      </c>
      <c r="E29" s="161">
        <f t="shared" si="0"/>
        <v>258</v>
      </c>
      <c r="F29" s="164">
        <f>(60+57.93)/2</f>
        <v>58.965000000000003</v>
      </c>
      <c r="G29" s="164">
        <v>112.1</v>
      </c>
      <c r="H29" s="164">
        <v>99</v>
      </c>
      <c r="I29" s="164">
        <v>107.9</v>
      </c>
      <c r="J29" s="161">
        <v>112.1</v>
      </c>
      <c r="L29" s="159">
        <v>24</v>
      </c>
      <c r="M29" s="160">
        <v>41974</v>
      </c>
      <c r="N29" s="162">
        <v>258</v>
      </c>
      <c r="O29" s="164">
        <f>(60+57.93)/2</f>
        <v>58.965000000000003</v>
      </c>
      <c r="P29" s="164">
        <v>112.1</v>
      </c>
      <c r="Q29" s="164">
        <v>99</v>
      </c>
      <c r="R29" s="164">
        <v>107.9</v>
      </c>
      <c r="S29" s="161">
        <v>112.1</v>
      </c>
    </row>
    <row r="30" spans="1:19" s="152" customFormat="1" x14ac:dyDescent="0.35">
      <c r="A30" s="159">
        <v>25</v>
      </c>
      <c r="B30" s="160">
        <v>42005</v>
      </c>
      <c r="C30" s="162">
        <v>259</v>
      </c>
      <c r="D30" s="161">
        <v>1</v>
      </c>
      <c r="E30" s="161">
        <f t="shared" si="0"/>
        <v>259</v>
      </c>
      <c r="F30" s="163">
        <v>55.46</v>
      </c>
      <c r="G30" s="164">
        <v>110.8</v>
      </c>
      <c r="H30" s="164">
        <v>98.5</v>
      </c>
      <c r="I30" s="164">
        <v>112</v>
      </c>
      <c r="J30" s="161">
        <v>109.8</v>
      </c>
      <c r="L30" s="159">
        <v>25</v>
      </c>
      <c r="M30" s="160">
        <v>42005</v>
      </c>
      <c r="N30" s="162">
        <v>259</v>
      </c>
      <c r="O30" s="163">
        <v>55.46</v>
      </c>
      <c r="P30" s="164">
        <v>110.8</v>
      </c>
      <c r="Q30" s="164">
        <v>98.5</v>
      </c>
      <c r="R30" s="164">
        <v>112</v>
      </c>
      <c r="S30" s="161">
        <v>109.8</v>
      </c>
    </row>
    <row r="31" spans="1:19" s="152" customFormat="1" x14ac:dyDescent="0.35">
      <c r="A31" s="159">
        <v>26</v>
      </c>
      <c r="B31" s="160">
        <v>42036</v>
      </c>
      <c r="C31" s="162">
        <v>259</v>
      </c>
      <c r="D31" s="161">
        <v>1</v>
      </c>
      <c r="E31" s="161">
        <f t="shared" si="0"/>
        <v>259</v>
      </c>
      <c r="F31" s="163">
        <f>(52.96+53.17)/2</f>
        <v>53.064999999999998</v>
      </c>
      <c r="G31" s="164">
        <v>109.6</v>
      </c>
      <c r="H31" s="164">
        <v>96.8</v>
      </c>
      <c r="I31" s="164">
        <v>110.2</v>
      </c>
      <c r="J31" s="161">
        <v>112.1</v>
      </c>
      <c r="L31" s="159">
        <v>26</v>
      </c>
      <c r="M31" s="160">
        <v>42036</v>
      </c>
      <c r="N31" s="162">
        <v>259</v>
      </c>
      <c r="O31" s="163">
        <f>(52.96+53.17)/2</f>
        <v>53.064999999999998</v>
      </c>
      <c r="P31" s="164">
        <v>109.6</v>
      </c>
      <c r="Q31" s="164">
        <v>96.8</v>
      </c>
      <c r="R31" s="164">
        <v>110.2</v>
      </c>
      <c r="S31" s="161">
        <v>112.1</v>
      </c>
    </row>
    <row r="32" spans="1:19" s="152" customFormat="1" x14ac:dyDescent="0.35">
      <c r="A32" s="159">
        <v>27</v>
      </c>
      <c r="B32" s="160">
        <v>42064</v>
      </c>
      <c r="C32" s="162">
        <v>261</v>
      </c>
      <c r="D32" s="161">
        <v>1</v>
      </c>
      <c r="E32" s="161">
        <f t="shared" si="0"/>
        <v>261</v>
      </c>
      <c r="F32" s="163">
        <v>56.26</v>
      </c>
      <c r="G32" s="164">
        <v>109.9</v>
      </c>
      <c r="H32" s="164">
        <v>95</v>
      </c>
      <c r="I32" s="164">
        <v>110.7</v>
      </c>
      <c r="J32" s="161">
        <v>114.1</v>
      </c>
      <c r="L32" s="159">
        <v>27</v>
      </c>
      <c r="M32" s="160">
        <v>42064</v>
      </c>
      <c r="N32" s="162">
        <v>261</v>
      </c>
      <c r="O32" s="163">
        <v>56.26</v>
      </c>
      <c r="P32" s="164">
        <v>109.9</v>
      </c>
      <c r="Q32" s="164">
        <v>95</v>
      </c>
      <c r="R32" s="164">
        <v>110.7</v>
      </c>
      <c r="S32" s="161">
        <v>114.1</v>
      </c>
    </row>
    <row r="33" spans="1:19" s="152" customFormat="1" x14ac:dyDescent="0.35">
      <c r="A33" s="159">
        <v>28</v>
      </c>
      <c r="B33" s="160">
        <v>42095</v>
      </c>
      <c r="C33" s="162">
        <v>260</v>
      </c>
      <c r="D33" s="161">
        <v>1</v>
      </c>
      <c r="E33" s="161">
        <f t="shared" si="0"/>
        <v>260</v>
      </c>
      <c r="F33" s="163">
        <f>(55.71+54.28)/2</f>
        <v>54.995000000000005</v>
      </c>
      <c r="G33" s="164">
        <v>110.2</v>
      </c>
      <c r="H33" s="164">
        <v>94.7</v>
      </c>
      <c r="I33" s="164">
        <v>108.3</v>
      </c>
      <c r="J33" s="161">
        <v>110.6</v>
      </c>
      <c r="L33" s="159">
        <v>28</v>
      </c>
      <c r="M33" s="160">
        <v>42095</v>
      </c>
      <c r="N33" s="162">
        <v>260</v>
      </c>
      <c r="O33" s="163">
        <f>(55.71+54.28)/2</f>
        <v>54.995000000000005</v>
      </c>
      <c r="P33" s="164">
        <v>110.2</v>
      </c>
      <c r="Q33" s="164">
        <v>94.7</v>
      </c>
      <c r="R33" s="164">
        <v>108.3</v>
      </c>
      <c r="S33" s="161">
        <v>110.6</v>
      </c>
    </row>
    <row r="34" spans="1:19" s="152" customFormat="1" x14ac:dyDescent="0.35">
      <c r="A34" s="159">
        <v>29</v>
      </c>
      <c r="B34" s="160">
        <v>42125</v>
      </c>
      <c r="C34" s="162">
        <v>264</v>
      </c>
      <c r="D34" s="161">
        <v>1</v>
      </c>
      <c r="E34" s="161">
        <f t="shared" si="0"/>
        <v>264</v>
      </c>
      <c r="F34" s="163">
        <f>(56.65+59.87)/2</f>
        <v>58.26</v>
      </c>
      <c r="G34" s="164">
        <v>111.4</v>
      </c>
      <c r="H34" s="164">
        <v>92.7</v>
      </c>
      <c r="I34" s="164">
        <v>105.8</v>
      </c>
      <c r="J34" s="161">
        <v>110.6</v>
      </c>
      <c r="L34" s="159">
        <v>29</v>
      </c>
      <c r="M34" s="160">
        <v>42125</v>
      </c>
      <c r="N34" s="162">
        <v>264</v>
      </c>
      <c r="O34" s="163">
        <f>(56.65+59.87)/2</f>
        <v>58.26</v>
      </c>
      <c r="P34" s="164">
        <v>111.4</v>
      </c>
      <c r="Q34" s="164">
        <v>92.7</v>
      </c>
      <c r="R34" s="164">
        <v>105.8</v>
      </c>
      <c r="S34" s="161">
        <v>110.6</v>
      </c>
    </row>
    <row r="35" spans="1:19" s="152" customFormat="1" x14ac:dyDescent="0.35">
      <c r="A35" s="159">
        <v>30</v>
      </c>
      <c r="B35" s="160">
        <v>42156</v>
      </c>
      <c r="C35" s="162">
        <v>266</v>
      </c>
      <c r="D35" s="161">
        <v>1</v>
      </c>
      <c r="E35" s="161">
        <f t="shared" si="0"/>
        <v>266</v>
      </c>
      <c r="F35" s="163">
        <v>58.52</v>
      </c>
      <c r="G35" s="164">
        <v>111.8</v>
      </c>
      <c r="H35" s="164">
        <v>91.1</v>
      </c>
      <c r="I35" s="164">
        <v>105.2</v>
      </c>
      <c r="J35" s="161">
        <v>109.9</v>
      </c>
      <c r="L35" s="159">
        <v>30</v>
      </c>
      <c r="M35" s="160">
        <v>42156</v>
      </c>
      <c r="N35" s="162">
        <v>266</v>
      </c>
      <c r="O35" s="163">
        <v>58.52</v>
      </c>
      <c r="P35" s="164">
        <v>111.8</v>
      </c>
      <c r="Q35" s="164">
        <v>91.1</v>
      </c>
      <c r="R35" s="164">
        <v>105.2</v>
      </c>
      <c r="S35" s="161">
        <v>109.9</v>
      </c>
    </row>
    <row r="36" spans="1:19" s="152" customFormat="1" x14ac:dyDescent="0.35">
      <c r="A36" s="159">
        <v>31</v>
      </c>
      <c r="B36" s="160">
        <v>42186</v>
      </c>
      <c r="C36" s="162">
        <v>265</v>
      </c>
      <c r="D36" s="161">
        <v>1</v>
      </c>
      <c r="E36" s="161">
        <f t="shared" si="0"/>
        <v>265</v>
      </c>
      <c r="F36" s="163">
        <v>57.57</v>
      </c>
      <c r="G36" s="164">
        <v>111.1</v>
      </c>
      <c r="H36" s="164">
        <v>89</v>
      </c>
      <c r="I36" s="164">
        <v>106.6</v>
      </c>
      <c r="J36" s="161">
        <v>109</v>
      </c>
      <c r="L36" s="159">
        <v>31</v>
      </c>
      <c r="M36" s="160">
        <v>42186</v>
      </c>
      <c r="N36" s="162">
        <v>265</v>
      </c>
      <c r="O36" s="163">
        <v>57.57</v>
      </c>
      <c r="P36" s="164">
        <v>111.1</v>
      </c>
      <c r="Q36" s="164">
        <v>89</v>
      </c>
      <c r="R36" s="164">
        <v>106.6</v>
      </c>
      <c r="S36" s="161">
        <v>109</v>
      </c>
    </row>
    <row r="37" spans="1:19" s="152" customFormat="1" x14ac:dyDescent="0.35">
      <c r="A37" s="159">
        <v>32</v>
      </c>
      <c r="B37" s="160">
        <v>42217</v>
      </c>
      <c r="C37" s="162">
        <v>265</v>
      </c>
      <c r="D37" s="161">
        <v>1</v>
      </c>
      <c r="E37" s="161">
        <f t="shared" si="0"/>
        <v>265</v>
      </c>
      <c r="F37" s="163">
        <f>(51.48+50.31)/2</f>
        <v>50.894999999999996</v>
      </c>
      <c r="G37" s="164">
        <v>110</v>
      </c>
      <c r="H37" s="164">
        <v>86.5</v>
      </c>
      <c r="I37" s="164">
        <v>107.4</v>
      </c>
      <c r="J37" s="161">
        <v>110.2</v>
      </c>
      <c r="L37" s="159">
        <v>32</v>
      </c>
      <c r="M37" s="160">
        <v>42217</v>
      </c>
      <c r="N37" s="162">
        <v>265</v>
      </c>
      <c r="O37" s="163">
        <f>(51.48+50.31)/2</f>
        <v>50.894999999999996</v>
      </c>
      <c r="P37" s="164">
        <v>110</v>
      </c>
      <c r="Q37" s="164">
        <v>86.5</v>
      </c>
      <c r="R37" s="164">
        <v>107.4</v>
      </c>
      <c r="S37" s="161">
        <v>110.2</v>
      </c>
    </row>
    <row r="38" spans="1:19" s="152" customFormat="1" x14ac:dyDescent="0.35">
      <c r="A38" s="159">
        <v>33</v>
      </c>
      <c r="B38" s="160">
        <v>42248</v>
      </c>
      <c r="C38" s="162">
        <v>271</v>
      </c>
      <c r="D38" s="161">
        <v>1</v>
      </c>
      <c r="E38" s="161">
        <f t="shared" si="0"/>
        <v>271</v>
      </c>
      <c r="F38" s="163">
        <v>49.81</v>
      </c>
      <c r="G38" s="164">
        <v>109.9</v>
      </c>
      <c r="H38" s="164">
        <v>86.7</v>
      </c>
      <c r="I38" s="164">
        <v>110.3</v>
      </c>
      <c r="J38" s="161">
        <v>111.6</v>
      </c>
      <c r="L38" s="159">
        <v>33</v>
      </c>
      <c r="M38" s="160">
        <v>42248</v>
      </c>
      <c r="N38" s="162">
        <v>271</v>
      </c>
      <c r="O38" s="163">
        <v>49.81</v>
      </c>
      <c r="P38" s="164">
        <v>109.9</v>
      </c>
      <c r="Q38" s="164">
        <v>86.7</v>
      </c>
      <c r="R38" s="164">
        <v>110.3</v>
      </c>
      <c r="S38" s="161">
        <v>111.6</v>
      </c>
    </row>
    <row r="39" spans="1:19" s="152" customFormat="1" x14ac:dyDescent="0.35">
      <c r="A39" s="159">
        <v>34</v>
      </c>
      <c r="B39" s="160">
        <v>42278</v>
      </c>
      <c r="C39" s="162">
        <v>275</v>
      </c>
      <c r="D39" s="161">
        <v>1</v>
      </c>
      <c r="E39" s="161">
        <f t="shared" si="0"/>
        <v>275</v>
      </c>
      <c r="F39" s="163">
        <v>49.81</v>
      </c>
      <c r="G39" s="164">
        <v>110.1</v>
      </c>
      <c r="H39" s="164">
        <v>85.3</v>
      </c>
      <c r="I39" s="164">
        <v>110.1</v>
      </c>
      <c r="J39" s="161">
        <v>109.7</v>
      </c>
      <c r="L39" s="159">
        <v>34</v>
      </c>
      <c r="M39" s="160">
        <v>42278</v>
      </c>
      <c r="N39" s="162">
        <v>275</v>
      </c>
      <c r="O39" s="163">
        <v>49.81</v>
      </c>
      <c r="P39" s="164">
        <v>110.1</v>
      </c>
      <c r="Q39" s="164">
        <v>85.3</v>
      </c>
      <c r="R39" s="164">
        <v>110.1</v>
      </c>
      <c r="S39" s="161">
        <v>109.7</v>
      </c>
    </row>
    <row r="40" spans="1:19" s="152" customFormat="1" x14ac:dyDescent="0.35">
      <c r="A40" s="159">
        <v>35</v>
      </c>
      <c r="B40" s="160">
        <v>42309</v>
      </c>
      <c r="C40" s="162">
        <v>273</v>
      </c>
      <c r="D40" s="161">
        <v>1</v>
      </c>
      <c r="E40" s="161">
        <f t="shared" si="0"/>
        <v>273</v>
      </c>
      <c r="F40" s="163">
        <v>50.68</v>
      </c>
      <c r="G40" s="164">
        <v>109.9</v>
      </c>
      <c r="H40" s="164">
        <v>83.5</v>
      </c>
      <c r="I40" s="164">
        <v>109</v>
      </c>
      <c r="J40" s="161">
        <v>110.1</v>
      </c>
      <c r="L40" s="159">
        <v>35</v>
      </c>
      <c r="M40" s="160">
        <v>42309</v>
      </c>
      <c r="N40" s="162">
        <v>273</v>
      </c>
      <c r="O40" s="163">
        <v>50.68</v>
      </c>
      <c r="P40" s="164">
        <v>109.9</v>
      </c>
      <c r="Q40" s="164">
        <v>83.5</v>
      </c>
      <c r="R40" s="164">
        <v>109</v>
      </c>
      <c r="S40" s="161">
        <v>110.1</v>
      </c>
    </row>
    <row r="41" spans="1:19" s="152" customFormat="1" x14ac:dyDescent="0.35">
      <c r="A41" s="159">
        <v>36</v>
      </c>
      <c r="B41" s="160">
        <v>42339</v>
      </c>
      <c r="C41" s="162">
        <v>272</v>
      </c>
      <c r="D41" s="161">
        <v>1</v>
      </c>
      <c r="E41" s="161">
        <f t="shared" si="0"/>
        <v>272</v>
      </c>
      <c r="F41" s="163">
        <f>(50.63+49.97)/2</f>
        <v>50.3</v>
      </c>
      <c r="G41" s="164">
        <v>109.4</v>
      </c>
      <c r="H41" s="164">
        <v>83.1</v>
      </c>
      <c r="I41" s="164">
        <v>107</v>
      </c>
      <c r="J41" s="161">
        <v>109.8</v>
      </c>
      <c r="L41" s="159">
        <v>36</v>
      </c>
      <c r="M41" s="160">
        <v>42339</v>
      </c>
      <c r="N41" s="162">
        <v>272</v>
      </c>
      <c r="O41" s="163">
        <f>(50.63+49.97)/2</f>
        <v>50.3</v>
      </c>
      <c r="P41" s="164">
        <v>109.4</v>
      </c>
      <c r="Q41" s="164">
        <v>83.1</v>
      </c>
      <c r="R41" s="164">
        <v>107</v>
      </c>
      <c r="S41" s="161">
        <v>109.8</v>
      </c>
    </row>
    <row r="42" spans="1:19" s="152" customFormat="1" x14ac:dyDescent="0.35">
      <c r="A42" s="159">
        <v>37</v>
      </c>
      <c r="B42" s="160">
        <v>42370</v>
      </c>
      <c r="C42" s="161">
        <v>273</v>
      </c>
      <c r="D42" s="161">
        <v>1</v>
      </c>
      <c r="E42" s="161">
        <f t="shared" si="0"/>
        <v>273</v>
      </c>
      <c r="F42" s="163">
        <v>50</v>
      </c>
      <c r="G42" s="164">
        <v>108</v>
      </c>
      <c r="H42" s="164">
        <v>83.2</v>
      </c>
      <c r="I42" s="162">
        <v>104.5</v>
      </c>
      <c r="J42" s="161">
        <v>110.5</v>
      </c>
      <c r="L42" s="159">
        <v>37</v>
      </c>
      <c r="M42" s="160">
        <v>42370</v>
      </c>
      <c r="N42" s="161">
        <v>273</v>
      </c>
      <c r="O42" s="163">
        <v>50</v>
      </c>
      <c r="P42" s="164">
        <v>108</v>
      </c>
      <c r="Q42" s="164">
        <v>83.2</v>
      </c>
      <c r="R42" s="162">
        <v>104.5</v>
      </c>
      <c r="S42" s="161">
        <v>110.5</v>
      </c>
    </row>
    <row r="43" spans="1:19" s="152" customFormat="1" x14ac:dyDescent="0.35">
      <c r="A43" s="159">
        <v>38</v>
      </c>
      <c r="B43" s="160">
        <v>42401</v>
      </c>
      <c r="C43" s="161">
        <v>269</v>
      </c>
      <c r="D43" s="161">
        <v>1</v>
      </c>
      <c r="E43" s="161">
        <f t="shared" si="0"/>
        <v>269</v>
      </c>
      <c r="F43" s="163">
        <f>(49.96+50.25)/2</f>
        <v>50.105000000000004</v>
      </c>
      <c r="G43" s="164">
        <v>107.1</v>
      </c>
      <c r="H43" s="164">
        <v>83</v>
      </c>
      <c r="I43" s="162">
        <v>103.6</v>
      </c>
      <c r="J43" s="161">
        <v>110.1</v>
      </c>
      <c r="L43" s="159">
        <v>38</v>
      </c>
      <c r="M43" s="160">
        <v>42401</v>
      </c>
      <c r="N43" s="161">
        <v>269</v>
      </c>
      <c r="O43" s="163">
        <f>(49.96+50.25)/2</f>
        <v>50.105000000000004</v>
      </c>
      <c r="P43" s="164">
        <v>107.1</v>
      </c>
      <c r="Q43" s="164">
        <v>83</v>
      </c>
      <c r="R43" s="162">
        <v>103.6</v>
      </c>
      <c r="S43" s="161">
        <v>110.1</v>
      </c>
    </row>
    <row r="44" spans="1:19" s="152" customFormat="1" x14ac:dyDescent="0.35">
      <c r="A44" s="159">
        <v>39</v>
      </c>
      <c r="B44" s="160">
        <v>42430</v>
      </c>
      <c r="C44" s="161">
        <v>270</v>
      </c>
      <c r="D44" s="161">
        <v>1</v>
      </c>
      <c r="E44" s="161">
        <f t="shared" si="0"/>
        <v>270</v>
      </c>
      <c r="F44" s="163">
        <f>(51.76+53.71)/2</f>
        <v>52.734999999999999</v>
      </c>
      <c r="G44" s="164">
        <v>107.7</v>
      </c>
      <c r="H44" s="164">
        <v>84.9</v>
      </c>
      <c r="I44" s="162">
        <v>106</v>
      </c>
      <c r="J44" s="161">
        <v>109.9</v>
      </c>
      <c r="L44" s="159">
        <v>39</v>
      </c>
      <c r="M44" s="160">
        <v>42430</v>
      </c>
      <c r="N44" s="161">
        <v>270</v>
      </c>
      <c r="O44" s="163">
        <f>(51.76+53.71)/2</f>
        <v>52.734999999999999</v>
      </c>
      <c r="P44" s="164">
        <v>107.7</v>
      </c>
      <c r="Q44" s="164">
        <v>84.9</v>
      </c>
      <c r="R44" s="162">
        <v>106</v>
      </c>
      <c r="S44" s="161">
        <v>109.9</v>
      </c>
    </row>
    <row r="45" spans="1:19" s="152" customFormat="1" x14ac:dyDescent="0.35">
      <c r="A45" s="159">
        <v>40</v>
      </c>
      <c r="B45" s="160">
        <v>42461</v>
      </c>
      <c r="C45" s="161">
        <v>275</v>
      </c>
      <c r="D45" s="161">
        <v>1</v>
      </c>
      <c r="E45" s="161">
        <f t="shared" si="0"/>
        <v>275</v>
      </c>
      <c r="F45" s="163">
        <f>(54.71+52.18)/2</f>
        <v>53.445</v>
      </c>
      <c r="G45" s="164">
        <v>109</v>
      </c>
      <c r="H45" s="164">
        <v>86</v>
      </c>
      <c r="I45" s="162">
        <v>106.3</v>
      </c>
      <c r="J45" s="161">
        <v>106.8</v>
      </c>
      <c r="L45" s="159">
        <v>40</v>
      </c>
      <c r="M45" s="160">
        <v>42461</v>
      </c>
      <c r="N45" s="161">
        <v>275</v>
      </c>
      <c r="O45" s="163">
        <f>(54.71+52.18)/2</f>
        <v>53.445</v>
      </c>
      <c r="P45" s="164">
        <v>109</v>
      </c>
      <c r="Q45" s="164">
        <v>86</v>
      </c>
      <c r="R45" s="162">
        <v>106.3</v>
      </c>
      <c r="S45" s="161">
        <v>106.8</v>
      </c>
    </row>
    <row r="46" spans="1:19" s="152" customFormat="1" x14ac:dyDescent="0.35">
      <c r="A46" s="159">
        <v>41</v>
      </c>
      <c r="B46" s="160">
        <v>42491</v>
      </c>
      <c r="C46" s="161">
        <v>275</v>
      </c>
      <c r="D46" s="161">
        <v>1</v>
      </c>
      <c r="E46" s="161">
        <f t="shared" si="0"/>
        <v>275</v>
      </c>
      <c r="F46" s="163">
        <f>(55.16+55.39)/2</f>
        <v>55.274999999999999</v>
      </c>
      <c r="G46" s="164">
        <v>110.4</v>
      </c>
      <c r="H46" s="164">
        <v>86.1</v>
      </c>
      <c r="I46" s="162">
        <v>107.8</v>
      </c>
      <c r="J46" s="161">
        <v>105.6</v>
      </c>
      <c r="L46" s="159">
        <v>41</v>
      </c>
      <c r="M46" s="160">
        <v>42491</v>
      </c>
      <c r="N46" s="161">
        <v>275</v>
      </c>
      <c r="O46" s="163">
        <f>(55.16+55.39)/2</f>
        <v>55.274999999999999</v>
      </c>
      <c r="P46" s="164">
        <v>110.4</v>
      </c>
      <c r="Q46" s="164">
        <v>86.1</v>
      </c>
      <c r="R46" s="162">
        <v>107.8</v>
      </c>
      <c r="S46" s="161">
        <v>105.6</v>
      </c>
    </row>
    <row r="47" spans="1:19" s="152" customFormat="1" x14ac:dyDescent="0.35">
      <c r="A47" s="159">
        <v>42</v>
      </c>
      <c r="B47" s="160">
        <v>42522</v>
      </c>
      <c r="C47" s="161">
        <v>281</v>
      </c>
      <c r="D47" s="161">
        <v>1</v>
      </c>
      <c r="E47" s="161">
        <f t="shared" si="0"/>
        <v>281</v>
      </c>
      <c r="F47" s="163">
        <f>(57.73+59.61)/2</f>
        <v>58.67</v>
      </c>
      <c r="G47" s="164">
        <v>111.7</v>
      </c>
      <c r="H47" s="164">
        <v>84.4</v>
      </c>
      <c r="I47" s="162">
        <v>109</v>
      </c>
      <c r="J47" s="161">
        <v>103.9</v>
      </c>
      <c r="L47" s="159">
        <v>42</v>
      </c>
      <c r="M47" s="160">
        <v>42522</v>
      </c>
      <c r="N47" s="161">
        <v>281</v>
      </c>
      <c r="O47" s="163">
        <f>(57.73+59.61)/2</f>
        <v>58.67</v>
      </c>
      <c r="P47" s="164">
        <v>111.7</v>
      </c>
      <c r="Q47" s="164">
        <v>84.4</v>
      </c>
      <c r="R47" s="162">
        <v>109</v>
      </c>
      <c r="S47" s="161">
        <v>103.9</v>
      </c>
    </row>
    <row r="48" spans="1:19" s="152" customFormat="1" x14ac:dyDescent="0.35">
      <c r="A48" s="159">
        <v>43</v>
      </c>
      <c r="B48" s="160">
        <v>42552</v>
      </c>
      <c r="C48" s="161">
        <v>286</v>
      </c>
      <c r="D48" s="161">
        <v>1</v>
      </c>
      <c r="E48" s="161">
        <f t="shared" si="0"/>
        <v>286</v>
      </c>
      <c r="F48" s="163">
        <f>(58.54+58.14)/2</f>
        <v>58.34</v>
      </c>
      <c r="G48" s="164">
        <v>111.8</v>
      </c>
      <c r="H48" s="164">
        <v>83.1</v>
      </c>
      <c r="I48" s="162">
        <v>109.4</v>
      </c>
      <c r="J48" s="161">
        <v>105.2</v>
      </c>
      <c r="L48" s="159">
        <v>43</v>
      </c>
      <c r="M48" s="160">
        <v>42552</v>
      </c>
      <c r="N48" s="161">
        <v>286</v>
      </c>
      <c r="O48" s="163">
        <f>(58.54+58.14)/2</f>
        <v>58.34</v>
      </c>
      <c r="P48" s="164">
        <v>111.8</v>
      </c>
      <c r="Q48" s="164">
        <v>83.1</v>
      </c>
      <c r="R48" s="162">
        <v>109.4</v>
      </c>
      <c r="S48" s="161">
        <v>105.2</v>
      </c>
    </row>
    <row r="49" spans="1:19" s="152" customFormat="1" x14ac:dyDescent="0.35">
      <c r="A49" s="159">
        <v>44</v>
      </c>
      <c r="B49" s="160">
        <v>42583</v>
      </c>
      <c r="C49" s="161">
        <v>278</v>
      </c>
      <c r="D49" s="161">
        <v>1</v>
      </c>
      <c r="E49" s="161">
        <f t="shared" si="0"/>
        <v>278</v>
      </c>
      <c r="F49" s="163">
        <f>(56.06+54.27)/2</f>
        <v>55.165000000000006</v>
      </c>
      <c r="G49" s="164">
        <v>111.2</v>
      </c>
      <c r="H49" s="164">
        <v>81.5</v>
      </c>
      <c r="I49" s="162">
        <v>108.9</v>
      </c>
      <c r="J49" s="161">
        <v>103.1</v>
      </c>
      <c r="L49" s="159">
        <v>44</v>
      </c>
      <c r="M49" s="160">
        <v>42583</v>
      </c>
      <c r="N49" s="161">
        <v>278</v>
      </c>
      <c r="O49" s="163">
        <f>(56.06+54.27)/2</f>
        <v>55.165000000000006</v>
      </c>
      <c r="P49" s="164">
        <v>111.2</v>
      </c>
      <c r="Q49" s="164">
        <v>81.5</v>
      </c>
      <c r="R49" s="162">
        <v>108.9</v>
      </c>
      <c r="S49" s="161">
        <v>103.1</v>
      </c>
    </row>
    <row r="50" spans="1:19" s="152" customFormat="1" x14ac:dyDescent="0.35">
      <c r="A50" s="159">
        <v>45</v>
      </c>
      <c r="B50" s="160">
        <v>42614</v>
      </c>
      <c r="C50" s="161">
        <v>277</v>
      </c>
      <c r="D50" s="161">
        <v>1</v>
      </c>
      <c r="E50" s="161">
        <f t="shared" si="0"/>
        <v>277</v>
      </c>
      <c r="F50" s="163">
        <f>(57.04+56.7)/2</f>
        <v>56.870000000000005</v>
      </c>
      <c r="G50" s="164">
        <v>111.4</v>
      </c>
      <c r="H50" s="164">
        <v>82.9</v>
      </c>
      <c r="I50" s="162">
        <v>110</v>
      </c>
      <c r="J50" s="161">
        <v>104.4</v>
      </c>
      <c r="L50" s="159">
        <v>45</v>
      </c>
      <c r="M50" s="160">
        <v>42614</v>
      </c>
      <c r="N50" s="161">
        <v>277</v>
      </c>
      <c r="O50" s="163">
        <f>(57.04+56.7)/2</f>
        <v>56.870000000000005</v>
      </c>
      <c r="P50" s="164">
        <v>111.4</v>
      </c>
      <c r="Q50" s="164">
        <v>82.9</v>
      </c>
      <c r="R50" s="162">
        <v>110</v>
      </c>
      <c r="S50" s="161">
        <v>104.4</v>
      </c>
    </row>
    <row r="51" spans="1:19" s="152" customFormat="1" x14ac:dyDescent="0.35">
      <c r="A51" s="159">
        <v>46</v>
      </c>
      <c r="B51" s="160">
        <v>42644</v>
      </c>
      <c r="C51" s="161">
        <v>280</v>
      </c>
      <c r="D51" s="161">
        <v>1</v>
      </c>
      <c r="E51" s="161">
        <f t="shared" si="0"/>
        <v>280</v>
      </c>
      <c r="F51" s="165">
        <f>(56.61+59.57)/2</f>
        <v>58.09</v>
      </c>
      <c r="G51" s="164">
        <v>111.5</v>
      </c>
      <c r="H51" s="164">
        <v>83.8</v>
      </c>
      <c r="I51" s="162">
        <v>109.5</v>
      </c>
      <c r="J51" s="161">
        <v>105.1</v>
      </c>
      <c r="L51" s="159">
        <v>46</v>
      </c>
      <c r="M51" s="160">
        <v>42644</v>
      </c>
      <c r="N51" s="161">
        <v>280</v>
      </c>
      <c r="O51" s="165">
        <f>(56.61+59.57)/2</f>
        <v>58.09</v>
      </c>
      <c r="P51" s="164">
        <v>111.5</v>
      </c>
      <c r="Q51" s="164">
        <v>83.8</v>
      </c>
      <c r="R51" s="162">
        <v>109.5</v>
      </c>
      <c r="S51" s="161">
        <v>105.1</v>
      </c>
    </row>
    <row r="52" spans="1:19" s="152" customFormat="1" x14ac:dyDescent="0.35">
      <c r="A52" s="159">
        <v>47</v>
      </c>
      <c r="B52" s="160">
        <v>42675</v>
      </c>
      <c r="C52" s="161">
        <v>280</v>
      </c>
      <c r="D52" s="161">
        <v>1</v>
      </c>
      <c r="E52" s="161">
        <f t="shared" si="0"/>
        <v>280</v>
      </c>
      <c r="F52" s="163">
        <f>(60.64+58.86)/2</f>
        <v>59.75</v>
      </c>
      <c r="G52" s="164">
        <v>111.9</v>
      </c>
      <c r="H52" s="164">
        <v>86</v>
      </c>
      <c r="I52" s="162">
        <v>108.2</v>
      </c>
      <c r="J52" s="161">
        <v>102</v>
      </c>
      <c r="L52" s="159">
        <v>47</v>
      </c>
      <c r="M52" s="160">
        <v>42675</v>
      </c>
      <c r="N52" s="161">
        <v>280</v>
      </c>
      <c r="O52" s="163">
        <f>(60.64+58.86)/2</f>
        <v>59.75</v>
      </c>
      <c r="P52" s="164">
        <v>111.9</v>
      </c>
      <c r="Q52" s="164">
        <v>86</v>
      </c>
      <c r="R52" s="162">
        <v>108.2</v>
      </c>
      <c r="S52" s="161">
        <v>102</v>
      </c>
    </row>
    <row r="53" spans="1:19" s="152" customFormat="1" x14ac:dyDescent="0.35">
      <c r="A53" s="159">
        <v>48</v>
      </c>
      <c r="B53" s="160">
        <v>42705</v>
      </c>
      <c r="C53" s="161">
        <v>276</v>
      </c>
      <c r="D53" s="161">
        <v>1</v>
      </c>
      <c r="E53" s="161">
        <f t="shared" si="0"/>
        <v>276</v>
      </c>
      <c r="F53" s="163">
        <f>(58.71+60.9)/2</f>
        <v>59.805</v>
      </c>
      <c r="G53" s="164">
        <v>111.7</v>
      </c>
      <c r="H53" s="164">
        <v>86</v>
      </c>
      <c r="I53" s="162">
        <v>106.4</v>
      </c>
      <c r="J53" s="161">
        <v>106.3</v>
      </c>
      <c r="L53" s="159">
        <v>48</v>
      </c>
      <c r="M53" s="160">
        <v>42705</v>
      </c>
      <c r="N53" s="161">
        <v>276</v>
      </c>
      <c r="O53" s="163">
        <f>(58.71+60.9)/2</f>
        <v>59.805</v>
      </c>
      <c r="P53" s="164">
        <v>111.7</v>
      </c>
      <c r="Q53" s="164">
        <v>86</v>
      </c>
      <c r="R53" s="162">
        <v>106.4</v>
      </c>
      <c r="S53" s="161">
        <v>106.3</v>
      </c>
    </row>
    <row r="54" spans="1:19" s="152" customFormat="1" x14ac:dyDescent="0.35">
      <c r="A54" s="159">
        <v>49</v>
      </c>
      <c r="B54" s="160">
        <v>42736</v>
      </c>
      <c r="C54" s="161">
        <v>273</v>
      </c>
      <c r="D54" s="161">
        <v>1</v>
      </c>
      <c r="E54" s="161">
        <f t="shared" si="0"/>
        <v>273</v>
      </c>
      <c r="F54" s="163">
        <f>+(62.08+63.32)/2</f>
        <v>62.7</v>
      </c>
      <c r="G54" s="164">
        <v>112.6</v>
      </c>
      <c r="H54" s="164">
        <v>86.8</v>
      </c>
      <c r="I54" s="162">
        <v>105.9</v>
      </c>
      <c r="J54" s="161">
        <v>109</v>
      </c>
      <c r="L54" s="159">
        <v>49</v>
      </c>
      <c r="M54" s="160">
        <v>42736</v>
      </c>
      <c r="N54" s="161">
        <v>273</v>
      </c>
      <c r="O54" s="163">
        <f>+(62.08+63.32)/2</f>
        <v>62.7</v>
      </c>
      <c r="P54" s="164">
        <v>112.6</v>
      </c>
      <c r="Q54" s="164">
        <v>86.8</v>
      </c>
      <c r="R54" s="162">
        <v>105.9</v>
      </c>
      <c r="S54" s="161">
        <v>109</v>
      </c>
    </row>
    <row r="55" spans="1:19" s="152" customFormat="1" x14ac:dyDescent="0.35">
      <c r="A55" s="159">
        <v>50</v>
      </c>
      <c r="B55" s="160">
        <v>42767</v>
      </c>
      <c r="C55" s="161">
        <v>271</v>
      </c>
      <c r="D55" s="161">
        <v>1</v>
      </c>
      <c r="E55" s="161">
        <f t="shared" si="0"/>
        <v>271</v>
      </c>
      <c r="F55" s="163">
        <v>63.32</v>
      </c>
      <c r="G55" s="162">
        <v>113</v>
      </c>
      <c r="H55" s="164">
        <v>87.1</v>
      </c>
      <c r="I55" s="162">
        <v>105.7</v>
      </c>
      <c r="J55" s="161">
        <v>109.5</v>
      </c>
      <c r="L55" s="159">
        <v>50</v>
      </c>
      <c r="M55" s="160">
        <v>42767</v>
      </c>
      <c r="N55" s="161">
        <v>271</v>
      </c>
      <c r="O55" s="163">
        <v>63.32</v>
      </c>
      <c r="P55" s="162">
        <v>113</v>
      </c>
      <c r="Q55" s="164">
        <v>87.1</v>
      </c>
      <c r="R55" s="162">
        <v>105.7</v>
      </c>
      <c r="S55" s="161">
        <v>109.5</v>
      </c>
    </row>
    <row r="56" spans="1:19" s="152" customFormat="1" x14ac:dyDescent="0.35">
      <c r="A56" s="159">
        <v>51</v>
      </c>
      <c r="B56" s="160">
        <v>42795</v>
      </c>
      <c r="C56" s="161">
        <v>273</v>
      </c>
      <c r="D56" s="161">
        <v>1</v>
      </c>
      <c r="E56" s="161">
        <f t="shared" si="0"/>
        <v>273</v>
      </c>
      <c r="F56" s="163">
        <v>63.32</v>
      </c>
      <c r="G56" s="162">
        <v>113.2</v>
      </c>
      <c r="H56" s="164">
        <v>89.4</v>
      </c>
      <c r="I56" s="162">
        <v>106.7</v>
      </c>
      <c r="J56" s="161">
        <v>109.1</v>
      </c>
      <c r="L56" s="159">
        <v>51</v>
      </c>
      <c r="M56" s="160">
        <v>42795</v>
      </c>
      <c r="N56" s="161">
        <v>273</v>
      </c>
      <c r="O56" s="163">
        <v>63.32</v>
      </c>
      <c r="P56" s="162">
        <v>113.2</v>
      </c>
      <c r="Q56" s="164">
        <v>89.4</v>
      </c>
      <c r="R56" s="162">
        <v>106.7</v>
      </c>
      <c r="S56" s="161">
        <v>109.1</v>
      </c>
    </row>
    <row r="57" spans="1:19" s="152" customFormat="1" x14ac:dyDescent="0.35">
      <c r="A57" s="159">
        <v>52</v>
      </c>
      <c r="B57" s="160">
        <v>42826</v>
      </c>
      <c r="C57" s="161">
        <v>273</v>
      </c>
      <c r="D57" s="161">
        <v>1</v>
      </c>
      <c r="E57" s="161">
        <f t="shared" si="0"/>
        <v>273</v>
      </c>
      <c r="F57" s="166">
        <f>+(59.79+61.05)/2</f>
        <v>60.42</v>
      </c>
      <c r="G57" s="162">
        <v>113.2</v>
      </c>
      <c r="H57" s="162">
        <v>90.8</v>
      </c>
      <c r="I57" s="162">
        <v>110.5</v>
      </c>
      <c r="J57" s="161">
        <v>107.5</v>
      </c>
      <c r="L57" s="159">
        <v>52</v>
      </c>
      <c r="M57" s="160">
        <v>42826</v>
      </c>
      <c r="N57" s="161">
        <v>273</v>
      </c>
      <c r="O57" s="166">
        <f>+(59.79+61.05)/2</f>
        <v>60.42</v>
      </c>
      <c r="P57" s="162">
        <v>113.2</v>
      </c>
      <c r="Q57" s="162">
        <v>90.8</v>
      </c>
      <c r="R57" s="162">
        <v>110.5</v>
      </c>
      <c r="S57" s="161">
        <v>107.5</v>
      </c>
    </row>
    <row r="58" spans="1:19" s="152" customFormat="1" x14ac:dyDescent="0.35">
      <c r="A58" s="159">
        <v>53</v>
      </c>
      <c r="B58" s="160">
        <v>42856</v>
      </c>
      <c r="C58" s="161">
        <v>272</v>
      </c>
      <c r="D58" s="161">
        <v>1</v>
      </c>
      <c r="E58" s="161">
        <f t="shared" si="0"/>
        <v>272</v>
      </c>
      <c r="F58" s="166">
        <f>(61.59+59.03)/2</f>
        <v>60.31</v>
      </c>
      <c r="G58" s="162">
        <v>112.9</v>
      </c>
      <c r="H58" s="162">
        <v>90.3</v>
      </c>
      <c r="I58" s="162">
        <v>113.7</v>
      </c>
      <c r="J58" s="161">
        <v>107.1</v>
      </c>
      <c r="L58" s="159">
        <v>53</v>
      </c>
      <c r="M58" s="160">
        <v>42856</v>
      </c>
      <c r="N58" s="161">
        <v>272</v>
      </c>
      <c r="O58" s="166">
        <f>(61.59+59.03)/2</f>
        <v>60.31</v>
      </c>
      <c r="P58" s="162">
        <v>112.9</v>
      </c>
      <c r="Q58" s="162">
        <v>90.3</v>
      </c>
      <c r="R58" s="162">
        <v>113.7</v>
      </c>
      <c r="S58" s="161">
        <v>107.1</v>
      </c>
    </row>
    <row r="59" spans="1:19" s="152" customFormat="1" x14ac:dyDescent="0.35">
      <c r="A59" s="159">
        <v>54</v>
      </c>
      <c r="B59" s="160">
        <v>42887</v>
      </c>
      <c r="C59" s="161">
        <v>274</v>
      </c>
      <c r="D59" s="161">
        <v>1</v>
      </c>
      <c r="E59" s="161">
        <f t="shared" si="0"/>
        <v>274</v>
      </c>
      <c r="F59" s="166">
        <f>+(60.11+57.51)/2</f>
        <v>58.81</v>
      </c>
      <c r="G59" s="162">
        <v>112.7</v>
      </c>
      <c r="H59" s="162">
        <v>89.8</v>
      </c>
      <c r="I59" s="162">
        <v>112.9</v>
      </c>
      <c r="J59" s="161">
        <v>106.9</v>
      </c>
      <c r="L59" s="159">
        <v>54</v>
      </c>
      <c r="M59" s="160">
        <v>42887</v>
      </c>
      <c r="N59" s="161">
        <v>274</v>
      </c>
      <c r="O59" s="166">
        <f>+(60.11+57.51)/2</f>
        <v>58.81</v>
      </c>
      <c r="P59" s="162">
        <v>112.7</v>
      </c>
      <c r="Q59" s="162">
        <v>89.8</v>
      </c>
      <c r="R59" s="162">
        <v>112.9</v>
      </c>
      <c r="S59" s="161">
        <v>106.9</v>
      </c>
    </row>
    <row r="60" spans="1:19" s="152" customFormat="1" x14ac:dyDescent="0.35">
      <c r="A60" s="159">
        <v>55</v>
      </c>
      <c r="B60" s="160">
        <v>42917</v>
      </c>
      <c r="C60" s="161">
        <v>276</v>
      </c>
      <c r="D60" s="161">
        <v>1</v>
      </c>
      <c r="E60" s="161">
        <f t="shared" si="0"/>
        <v>276</v>
      </c>
      <c r="F60" s="166">
        <f>+(57.53+57.6)/2</f>
        <v>57.564999999999998</v>
      </c>
      <c r="G60" s="162">
        <v>113.9</v>
      </c>
      <c r="H60" s="162">
        <v>91.6</v>
      </c>
      <c r="I60" s="162">
        <v>111.3</v>
      </c>
      <c r="J60" s="161">
        <v>108.2</v>
      </c>
      <c r="L60" s="159">
        <v>55</v>
      </c>
      <c r="M60" s="160">
        <v>42917</v>
      </c>
      <c r="N60" s="161">
        <v>276</v>
      </c>
      <c r="O60" s="166">
        <f>+(57.53+57.6)/2</f>
        <v>57.564999999999998</v>
      </c>
      <c r="P60" s="162">
        <v>113.9</v>
      </c>
      <c r="Q60" s="162">
        <v>91.6</v>
      </c>
      <c r="R60" s="162">
        <v>111.3</v>
      </c>
      <c r="S60" s="161">
        <v>108.2</v>
      </c>
    </row>
    <row r="61" spans="1:19" s="152" customFormat="1" x14ac:dyDescent="0.35">
      <c r="A61" s="159">
        <v>56</v>
      </c>
      <c r="B61" s="160">
        <v>42948</v>
      </c>
      <c r="C61" s="161">
        <v>277</v>
      </c>
      <c r="D61" s="161">
        <v>1</v>
      </c>
      <c r="E61" s="161">
        <f t="shared" si="0"/>
        <v>277</v>
      </c>
      <c r="F61" s="166">
        <f>+(58.15+59.65)/2</f>
        <v>58.9</v>
      </c>
      <c r="G61" s="162">
        <v>114.8</v>
      </c>
      <c r="H61" s="162">
        <v>92</v>
      </c>
      <c r="I61" s="162">
        <v>111.1</v>
      </c>
      <c r="J61" s="161">
        <v>107</v>
      </c>
      <c r="L61" s="159">
        <v>56</v>
      </c>
      <c r="M61" s="160">
        <v>42948</v>
      </c>
      <c r="N61" s="161">
        <v>277</v>
      </c>
      <c r="O61" s="166">
        <f>+(58.15+59.65)/2</f>
        <v>58.9</v>
      </c>
      <c r="P61" s="162">
        <v>114.8</v>
      </c>
      <c r="Q61" s="162">
        <v>92</v>
      </c>
      <c r="R61" s="162">
        <v>111.1</v>
      </c>
      <c r="S61" s="161">
        <v>107</v>
      </c>
    </row>
    <row r="62" spans="1:19" s="152" customFormat="1" x14ac:dyDescent="0.35">
      <c r="A62" s="159">
        <v>57</v>
      </c>
      <c r="B62" s="160">
        <v>42979</v>
      </c>
      <c r="C62" s="161">
        <v>276</v>
      </c>
      <c r="D62" s="161">
        <v>1</v>
      </c>
      <c r="E62" s="161">
        <f t="shared" si="0"/>
        <v>276</v>
      </c>
      <c r="F62" s="166">
        <f>+(59.94+61.34)/2</f>
        <v>60.64</v>
      </c>
      <c r="G62" s="162">
        <v>114.9</v>
      </c>
      <c r="H62" s="162">
        <v>92.5</v>
      </c>
      <c r="I62" s="162">
        <v>110.9</v>
      </c>
      <c r="J62" s="161">
        <v>109.2</v>
      </c>
      <c r="L62" s="159">
        <v>57</v>
      </c>
      <c r="M62" s="160">
        <v>42979</v>
      </c>
      <c r="N62" s="161">
        <v>276</v>
      </c>
      <c r="O62" s="166">
        <f>+(59.94+61.34)/2</f>
        <v>60.64</v>
      </c>
      <c r="P62" s="162">
        <v>114.9</v>
      </c>
      <c r="Q62" s="162">
        <v>92.5</v>
      </c>
      <c r="R62" s="162">
        <v>110.9</v>
      </c>
      <c r="S62" s="161">
        <v>109.2</v>
      </c>
    </row>
    <row r="63" spans="1:19" s="152" customFormat="1" x14ac:dyDescent="0.35">
      <c r="A63" s="159">
        <v>58</v>
      </c>
      <c r="B63" s="160">
        <v>43009</v>
      </c>
      <c r="C63" s="161">
        <v>278</v>
      </c>
      <c r="D63" s="161">
        <v>1</v>
      </c>
      <c r="E63" s="161">
        <f t="shared" si="0"/>
        <v>278</v>
      </c>
      <c r="F63" s="166">
        <f>+(61.76+59.2)/2</f>
        <v>60.480000000000004</v>
      </c>
      <c r="G63" s="162">
        <v>115.6</v>
      </c>
      <c r="H63" s="162">
        <v>91.7</v>
      </c>
      <c r="I63" s="162">
        <v>109.2</v>
      </c>
      <c r="J63" s="161">
        <v>106.2</v>
      </c>
      <c r="L63" s="159">
        <v>58</v>
      </c>
      <c r="M63" s="160">
        <v>43009</v>
      </c>
      <c r="N63" s="161">
        <v>278</v>
      </c>
      <c r="O63" s="166">
        <f>+(61.76+59.2)/2</f>
        <v>60.480000000000004</v>
      </c>
      <c r="P63" s="162">
        <v>115.6</v>
      </c>
      <c r="Q63" s="162">
        <v>91.7</v>
      </c>
      <c r="R63" s="162">
        <v>109.2</v>
      </c>
      <c r="S63" s="161">
        <v>106.2</v>
      </c>
    </row>
    <row r="64" spans="1:19" s="152" customFormat="1" x14ac:dyDescent="0.35">
      <c r="A64" s="159">
        <v>59</v>
      </c>
      <c r="B64" s="160">
        <v>43040</v>
      </c>
      <c r="C64" s="161">
        <v>279</v>
      </c>
      <c r="D64" s="161">
        <v>1</v>
      </c>
      <c r="E64" s="161">
        <f t="shared" si="0"/>
        <v>279</v>
      </c>
      <c r="F64" s="166">
        <f>+(59.85+60.06)/2</f>
        <v>59.954999999999998</v>
      </c>
      <c r="G64" s="162">
        <v>116.4</v>
      </c>
      <c r="H64" s="162">
        <v>95.4</v>
      </c>
      <c r="I64" s="162">
        <v>110.2</v>
      </c>
      <c r="J64" s="161">
        <v>108.3</v>
      </c>
      <c r="L64" s="159">
        <v>59</v>
      </c>
      <c r="M64" s="160">
        <v>43040</v>
      </c>
      <c r="N64" s="161">
        <v>279</v>
      </c>
      <c r="O64" s="166">
        <f>+(59.85+60.06)/2</f>
        <v>59.954999999999998</v>
      </c>
      <c r="P64" s="162">
        <v>116.4</v>
      </c>
      <c r="Q64" s="162">
        <v>95.4</v>
      </c>
      <c r="R64" s="162">
        <v>110.2</v>
      </c>
      <c r="S64" s="161">
        <v>108.3</v>
      </c>
    </row>
    <row r="65" spans="1:19" s="152" customFormat="1" x14ac:dyDescent="0.35">
      <c r="A65" s="159">
        <v>60</v>
      </c>
      <c r="B65" s="160">
        <v>43070</v>
      </c>
      <c r="C65" s="161">
        <v>279</v>
      </c>
      <c r="D65" s="161">
        <v>1</v>
      </c>
      <c r="E65" s="161">
        <f t="shared" si="0"/>
        <v>279</v>
      </c>
      <c r="F65" s="166">
        <f>(60.24+61.77)/2</f>
        <v>61.005000000000003</v>
      </c>
      <c r="G65" s="162">
        <v>115.7</v>
      </c>
      <c r="H65" s="162">
        <v>98.5</v>
      </c>
      <c r="I65" s="162">
        <v>111</v>
      </c>
      <c r="J65" s="161">
        <v>109.7</v>
      </c>
      <c r="L65" s="159">
        <v>60</v>
      </c>
      <c r="M65" s="160">
        <v>43070</v>
      </c>
      <c r="N65" s="161">
        <v>279</v>
      </c>
      <c r="O65" s="166">
        <f>(60.24+61.77)/2</f>
        <v>61.005000000000003</v>
      </c>
      <c r="P65" s="162">
        <v>115.7</v>
      </c>
      <c r="Q65" s="162">
        <v>98.5</v>
      </c>
      <c r="R65" s="162">
        <v>111</v>
      </c>
      <c r="S65" s="161">
        <v>109.7</v>
      </c>
    </row>
    <row r="66" spans="1:19" s="152" customFormat="1" x14ac:dyDescent="0.35">
      <c r="A66" s="159">
        <v>61</v>
      </c>
      <c r="B66" s="160">
        <v>43101</v>
      </c>
      <c r="C66" s="161">
        <v>289</v>
      </c>
      <c r="D66" s="161">
        <v>1</v>
      </c>
      <c r="E66" s="161">
        <f t="shared" si="0"/>
        <v>289</v>
      </c>
      <c r="F66" s="166">
        <f>(62.36+66.95)/2</f>
        <v>64.655000000000001</v>
      </c>
      <c r="G66" s="162">
        <v>116</v>
      </c>
      <c r="H66" s="162">
        <v>102.9</v>
      </c>
      <c r="I66" s="162">
        <v>111.2</v>
      </c>
      <c r="J66" s="161">
        <v>112.8</v>
      </c>
      <c r="L66" s="159">
        <v>61</v>
      </c>
      <c r="M66" s="160">
        <v>43101</v>
      </c>
      <c r="N66" s="161">
        <v>289</v>
      </c>
      <c r="O66" s="166">
        <f>(62.36+66.95)/2</f>
        <v>64.655000000000001</v>
      </c>
      <c r="P66" s="162">
        <v>116</v>
      </c>
      <c r="Q66" s="162">
        <v>102.9</v>
      </c>
      <c r="R66" s="162">
        <v>111.2</v>
      </c>
      <c r="S66" s="161">
        <v>112.8</v>
      </c>
    </row>
    <row r="67" spans="1:19" s="152" customFormat="1" x14ac:dyDescent="0.35">
      <c r="A67" s="159">
        <v>62</v>
      </c>
      <c r="B67" s="160">
        <v>43132</v>
      </c>
      <c r="C67" s="161">
        <v>289</v>
      </c>
      <c r="D67" s="161">
        <v>1</v>
      </c>
      <c r="E67" s="161">
        <f t="shared" si="0"/>
        <v>289</v>
      </c>
      <c r="F67" s="166">
        <f>(67.07+65.04)/2</f>
        <v>66.055000000000007</v>
      </c>
      <c r="G67" s="162">
        <v>116.1</v>
      </c>
      <c r="H67" s="162">
        <v>105.9</v>
      </c>
      <c r="I67" s="162">
        <v>113.2</v>
      </c>
      <c r="J67" s="161">
        <v>114.7</v>
      </c>
      <c r="L67" s="159">
        <v>62</v>
      </c>
      <c r="M67" s="160">
        <v>43132</v>
      </c>
      <c r="N67" s="161">
        <v>289</v>
      </c>
      <c r="O67" s="166">
        <f>(67.07+65.04)/2</f>
        <v>66.055000000000007</v>
      </c>
      <c r="P67" s="162">
        <v>116.1</v>
      </c>
      <c r="Q67" s="162">
        <v>105.9</v>
      </c>
      <c r="R67" s="162">
        <v>113.2</v>
      </c>
      <c r="S67" s="161">
        <v>114.7</v>
      </c>
    </row>
    <row r="68" spans="1:19" s="152" customFormat="1" x14ac:dyDescent="0.35">
      <c r="A68" s="159">
        <v>63</v>
      </c>
      <c r="B68" s="160">
        <v>43160</v>
      </c>
      <c r="C68" s="161">
        <v>292</v>
      </c>
      <c r="D68" s="161">
        <v>1</v>
      </c>
      <c r="E68" s="161">
        <f t="shared" si="0"/>
        <v>292</v>
      </c>
      <c r="F68" s="166">
        <f>(65.21+67.17)/2</f>
        <v>66.19</v>
      </c>
      <c r="G68" s="162">
        <v>116.3</v>
      </c>
      <c r="H68" s="162">
        <v>105.9</v>
      </c>
      <c r="I68" s="162">
        <v>111.8</v>
      </c>
      <c r="J68" s="161">
        <v>114.2</v>
      </c>
      <c r="L68" s="159">
        <v>63</v>
      </c>
      <c r="M68" s="160">
        <v>43160</v>
      </c>
      <c r="N68" s="161">
        <v>292</v>
      </c>
      <c r="O68" s="166">
        <f>(65.21+67.17)/2</f>
        <v>66.19</v>
      </c>
      <c r="P68" s="162">
        <v>116.3</v>
      </c>
      <c r="Q68" s="162">
        <v>105.9</v>
      </c>
      <c r="R68" s="162">
        <v>111.8</v>
      </c>
      <c r="S68" s="161">
        <v>114.2</v>
      </c>
    </row>
    <row r="69" spans="1:19" s="152" customFormat="1" x14ac:dyDescent="0.35">
      <c r="A69" s="159">
        <v>64</v>
      </c>
      <c r="B69" s="160">
        <v>43191</v>
      </c>
      <c r="C69" s="161">
        <v>293</v>
      </c>
      <c r="D69" s="161">
        <v>1</v>
      </c>
      <c r="E69" s="161">
        <f t="shared" si="0"/>
        <v>293</v>
      </c>
      <c r="F69" s="166">
        <f>(67.71+69.01)/2</f>
        <v>68.36</v>
      </c>
      <c r="G69" s="162">
        <v>117.3</v>
      </c>
      <c r="H69" s="162">
        <v>108</v>
      </c>
      <c r="I69" s="162">
        <v>113.1</v>
      </c>
      <c r="J69" s="161">
        <v>111.8</v>
      </c>
      <c r="L69" s="159">
        <v>64</v>
      </c>
      <c r="M69" s="160">
        <v>43191</v>
      </c>
      <c r="N69" s="161">
        <v>293</v>
      </c>
      <c r="O69" s="166">
        <f>(67.71+69.01)/2</f>
        <v>68.36</v>
      </c>
      <c r="P69" s="162">
        <v>117.3</v>
      </c>
      <c r="Q69" s="162">
        <v>108</v>
      </c>
      <c r="R69" s="162">
        <v>113.1</v>
      </c>
      <c r="S69" s="161">
        <v>111.8</v>
      </c>
    </row>
    <row r="70" spans="1:19" s="152" customFormat="1" x14ac:dyDescent="0.35">
      <c r="A70" s="159">
        <v>65</v>
      </c>
      <c r="B70" s="160">
        <v>43221</v>
      </c>
      <c r="C70" s="161">
        <v>298</v>
      </c>
      <c r="D70" s="161">
        <v>1</v>
      </c>
      <c r="E70" s="161">
        <f t="shared" si="0"/>
        <v>298</v>
      </c>
      <c r="F70" s="166">
        <f>(69.23+72.45)/2</f>
        <v>70.84</v>
      </c>
      <c r="G70" s="162">
        <v>118.3</v>
      </c>
      <c r="H70" s="162">
        <v>109.8</v>
      </c>
      <c r="I70" s="162">
        <v>113</v>
      </c>
      <c r="J70" s="161">
        <v>112.9</v>
      </c>
      <c r="L70" s="159">
        <v>65</v>
      </c>
      <c r="M70" s="160">
        <v>43221</v>
      </c>
      <c r="N70" s="161">
        <v>298</v>
      </c>
      <c r="O70" s="166">
        <f>(69.23+72.45)/2</f>
        <v>70.84</v>
      </c>
      <c r="P70" s="162">
        <v>118.3</v>
      </c>
      <c r="Q70" s="162">
        <v>109.8</v>
      </c>
      <c r="R70" s="162">
        <v>113</v>
      </c>
      <c r="S70" s="161">
        <v>112.9</v>
      </c>
    </row>
    <row r="71" spans="1:19" s="152" customFormat="1" x14ac:dyDescent="0.35">
      <c r="A71" s="159">
        <v>66</v>
      </c>
      <c r="B71" s="160">
        <v>43252</v>
      </c>
      <c r="C71" s="161">
        <v>300</v>
      </c>
      <c r="D71" s="161">
        <v>1</v>
      </c>
      <c r="E71" s="161">
        <f t="shared" ref="E71:E134" si="1">C71*D71</f>
        <v>300</v>
      </c>
      <c r="F71" s="166">
        <f>(72.4+70.29)/2</f>
        <v>71.344999999999999</v>
      </c>
      <c r="G71" s="162">
        <v>119.1</v>
      </c>
      <c r="H71" s="162">
        <v>110.8</v>
      </c>
      <c r="I71" s="162">
        <v>111.6</v>
      </c>
      <c r="J71" s="161">
        <v>113.9</v>
      </c>
      <c r="L71" s="159">
        <v>66</v>
      </c>
      <c r="M71" s="160">
        <v>43252</v>
      </c>
      <c r="N71" s="161">
        <v>300</v>
      </c>
      <c r="O71" s="166">
        <f>(72.4+70.29)/2</f>
        <v>71.344999999999999</v>
      </c>
      <c r="P71" s="162">
        <v>119.1</v>
      </c>
      <c r="Q71" s="162">
        <v>110.8</v>
      </c>
      <c r="R71" s="162">
        <v>111.6</v>
      </c>
      <c r="S71" s="161">
        <v>113.9</v>
      </c>
    </row>
    <row r="72" spans="1:19" s="152" customFormat="1" x14ac:dyDescent="0.35">
      <c r="A72" s="159">
        <v>67</v>
      </c>
      <c r="B72" s="160">
        <v>43282</v>
      </c>
      <c r="C72" s="161">
        <v>317</v>
      </c>
      <c r="D72" s="161">
        <v>1</v>
      </c>
      <c r="E72" s="161">
        <f t="shared" si="1"/>
        <v>317</v>
      </c>
      <c r="F72" s="166">
        <f>(70.27+70.78)/2</f>
        <v>70.525000000000006</v>
      </c>
      <c r="G72" s="162">
        <v>119.9</v>
      </c>
      <c r="H72" s="162">
        <v>110.5</v>
      </c>
      <c r="I72" s="162">
        <v>113</v>
      </c>
      <c r="J72" s="161">
        <v>115.8</v>
      </c>
      <c r="L72" s="159">
        <v>67</v>
      </c>
      <c r="M72" s="160">
        <v>43282</v>
      </c>
      <c r="N72" s="161">
        <v>317</v>
      </c>
      <c r="O72" s="166">
        <f>(70.27+70.78)/2</f>
        <v>70.525000000000006</v>
      </c>
      <c r="P72" s="162">
        <v>119.9</v>
      </c>
      <c r="Q72" s="162">
        <v>110.5</v>
      </c>
      <c r="R72" s="162">
        <v>113</v>
      </c>
      <c r="S72" s="161">
        <v>115.8</v>
      </c>
    </row>
    <row r="73" spans="1:19" s="152" customFormat="1" x14ac:dyDescent="0.35">
      <c r="A73" s="159">
        <v>68</v>
      </c>
      <c r="B73" s="160">
        <v>43313</v>
      </c>
      <c r="C73" s="161">
        <v>314</v>
      </c>
      <c r="D73" s="161">
        <v>1</v>
      </c>
      <c r="E73" s="161">
        <f t="shared" si="1"/>
        <v>314</v>
      </c>
      <c r="F73" s="166">
        <f>(70.89+73.27)/2</f>
        <v>72.08</v>
      </c>
      <c r="G73" s="162">
        <v>120.1</v>
      </c>
      <c r="H73" s="162">
        <v>108.2</v>
      </c>
      <c r="I73" s="162">
        <v>111.1</v>
      </c>
      <c r="J73" s="161">
        <v>118.6</v>
      </c>
      <c r="L73" s="159">
        <v>68</v>
      </c>
      <c r="M73" s="160">
        <v>43313</v>
      </c>
      <c r="N73" s="161">
        <v>314</v>
      </c>
      <c r="O73" s="166">
        <f>(70.89+73.27)/2</f>
        <v>72.08</v>
      </c>
      <c r="P73" s="162">
        <v>120.1</v>
      </c>
      <c r="Q73" s="162">
        <v>108.2</v>
      </c>
      <c r="R73" s="162">
        <v>111.1</v>
      </c>
      <c r="S73" s="161">
        <v>118.6</v>
      </c>
    </row>
    <row r="74" spans="1:19" s="152" customFormat="1" x14ac:dyDescent="0.35">
      <c r="A74" s="159">
        <v>69</v>
      </c>
      <c r="B74" s="160">
        <v>43344</v>
      </c>
      <c r="C74" s="162">
        <v>317</v>
      </c>
      <c r="D74" s="161">
        <v>1</v>
      </c>
      <c r="E74" s="161">
        <f t="shared" si="1"/>
        <v>317</v>
      </c>
      <c r="F74" s="166">
        <f>(74.28+78.05)/2</f>
        <v>76.164999999999992</v>
      </c>
      <c r="G74" s="162">
        <v>120.9</v>
      </c>
      <c r="H74" s="162">
        <v>112.3</v>
      </c>
      <c r="I74" s="162">
        <v>111.4</v>
      </c>
      <c r="J74" s="161">
        <v>120</v>
      </c>
      <c r="L74" s="159">
        <v>69</v>
      </c>
      <c r="M74" s="160">
        <v>43344</v>
      </c>
      <c r="N74" s="162">
        <v>317</v>
      </c>
      <c r="O74" s="166">
        <f>(74.28+78.05)/2</f>
        <v>76.164999999999992</v>
      </c>
      <c r="P74" s="162">
        <v>120.9</v>
      </c>
      <c r="Q74" s="162">
        <v>112.3</v>
      </c>
      <c r="R74" s="162">
        <v>111.4</v>
      </c>
      <c r="S74" s="161">
        <v>120</v>
      </c>
    </row>
    <row r="75" spans="1:19" s="152" customFormat="1" x14ac:dyDescent="0.35">
      <c r="A75" s="159">
        <v>70</v>
      </c>
      <c r="B75" s="160">
        <v>43374</v>
      </c>
      <c r="C75" s="162">
        <v>320</v>
      </c>
      <c r="D75" s="161">
        <v>1</v>
      </c>
      <c r="E75" s="161">
        <f t="shared" si="1"/>
        <v>320</v>
      </c>
      <c r="F75" s="166">
        <f>(78.35+75.96)/2</f>
        <v>77.155000000000001</v>
      </c>
      <c r="G75" s="162">
        <v>121.1</v>
      </c>
      <c r="H75" s="162">
        <v>111.5</v>
      </c>
      <c r="I75" s="162">
        <v>110.7</v>
      </c>
      <c r="J75" s="167"/>
      <c r="L75" s="159">
        <v>70</v>
      </c>
      <c r="M75" s="160">
        <v>43374</v>
      </c>
      <c r="N75" s="162">
        <v>320</v>
      </c>
      <c r="O75" s="166">
        <f>(78.35+75.96)/2</f>
        <v>77.155000000000001</v>
      </c>
      <c r="P75" s="162">
        <v>121.1</v>
      </c>
      <c r="Q75" s="162">
        <v>111.5</v>
      </c>
      <c r="R75" s="162">
        <v>110.7</v>
      </c>
      <c r="S75" s="167"/>
    </row>
    <row r="76" spans="1:19" s="152" customFormat="1" x14ac:dyDescent="0.35">
      <c r="A76" s="159">
        <v>71</v>
      </c>
      <c r="B76" s="160">
        <v>43405</v>
      </c>
      <c r="C76" s="162">
        <v>319</v>
      </c>
      <c r="D76" s="161">
        <v>1</v>
      </c>
      <c r="E76" s="161">
        <f t="shared" si="1"/>
        <v>319</v>
      </c>
      <c r="F76" s="162">
        <f>(75.83+69.72)/2</f>
        <v>72.775000000000006</v>
      </c>
      <c r="G76" s="162">
        <v>121.6</v>
      </c>
      <c r="H76" s="166">
        <v>112.3</v>
      </c>
      <c r="I76" s="166">
        <v>110.3</v>
      </c>
      <c r="J76" s="167"/>
      <c r="L76" s="159">
        <v>71</v>
      </c>
      <c r="M76" s="160">
        <v>43405</v>
      </c>
      <c r="N76" s="162">
        <v>319</v>
      </c>
      <c r="O76" s="162">
        <f>(75.83+69.72)/2</f>
        <v>72.775000000000006</v>
      </c>
      <c r="P76" s="162">
        <v>121.6</v>
      </c>
      <c r="Q76" s="166">
        <v>112.3</v>
      </c>
      <c r="R76" s="166">
        <v>110.3</v>
      </c>
      <c r="S76" s="167"/>
    </row>
    <row r="77" spans="1:19" s="152" customFormat="1" x14ac:dyDescent="0.35">
      <c r="A77" s="159">
        <v>72</v>
      </c>
      <c r="B77" s="160">
        <v>43435</v>
      </c>
      <c r="C77" s="162">
        <v>320</v>
      </c>
      <c r="D77" s="161">
        <v>1</v>
      </c>
      <c r="E77" s="161">
        <f t="shared" si="1"/>
        <v>320</v>
      </c>
      <c r="F77" s="166">
        <f>(69.33+64.6)/2</f>
        <v>66.965000000000003</v>
      </c>
      <c r="G77" s="166">
        <v>119.7</v>
      </c>
      <c r="H77" s="166">
        <v>110.3</v>
      </c>
      <c r="I77" s="166">
        <v>111.5</v>
      </c>
      <c r="J77" s="167"/>
      <c r="L77" s="159">
        <v>72</v>
      </c>
      <c r="M77" s="160">
        <v>43435</v>
      </c>
      <c r="N77" s="162">
        <v>320</v>
      </c>
      <c r="O77" s="166">
        <f>(69.33+64.6)/2</f>
        <v>66.965000000000003</v>
      </c>
      <c r="P77" s="166">
        <v>119.7</v>
      </c>
      <c r="Q77" s="166">
        <v>110.3</v>
      </c>
      <c r="R77" s="166">
        <v>111.5</v>
      </c>
      <c r="S77" s="167"/>
    </row>
    <row r="78" spans="1:19" s="152" customFormat="1" x14ac:dyDescent="0.35">
      <c r="A78" s="159">
        <v>73</v>
      </c>
      <c r="B78" s="160">
        <v>43466</v>
      </c>
      <c r="C78" s="167">
        <v>307</v>
      </c>
      <c r="D78" s="161">
        <v>1</v>
      </c>
      <c r="E78" s="161">
        <f t="shared" si="1"/>
        <v>307</v>
      </c>
      <c r="F78" s="167">
        <f>(64.48+67.75)/2</f>
        <v>66.115000000000009</v>
      </c>
      <c r="G78" s="168">
        <v>119.2</v>
      </c>
      <c r="H78" s="167">
        <v>109.5</v>
      </c>
      <c r="I78" s="167">
        <v>112.7</v>
      </c>
      <c r="J78" s="167"/>
      <c r="L78" s="159">
        <v>73</v>
      </c>
      <c r="M78" s="160">
        <v>43466</v>
      </c>
      <c r="N78" s="167">
        <v>307</v>
      </c>
      <c r="O78" s="167">
        <f>(64.48+67.75)/2</f>
        <v>66.115000000000009</v>
      </c>
      <c r="P78" s="168">
        <v>119.2</v>
      </c>
      <c r="Q78" s="167">
        <v>109.5</v>
      </c>
      <c r="R78" s="167">
        <v>112.7</v>
      </c>
      <c r="S78" s="167"/>
    </row>
    <row r="79" spans="1:19" s="152" customFormat="1" x14ac:dyDescent="0.35">
      <c r="A79" s="159">
        <v>74</v>
      </c>
      <c r="B79" s="160">
        <v>43497</v>
      </c>
      <c r="C79" s="167">
        <v>307</v>
      </c>
      <c r="D79" s="161">
        <v>1</v>
      </c>
      <c r="E79" s="161">
        <f t="shared" si="1"/>
        <v>307</v>
      </c>
      <c r="F79" s="167">
        <f>(67.56+68.9)/2</f>
        <v>68.23</v>
      </c>
      <c r="G79" s="168">
        <v>119.5</v>
      </c>
      <c r="H79" s="167">
        <v>109.9</v>
      </c>
      <c r="I79" s="167">
        <v>116.1</v>
      </c>
      <c r="J79" s="167"/>
      <c r="L79" s="159">
        <v>74</v>
      </c>
      <c r="M79" s="160">
        <v>43497</v>
      </c>
      <c r="N79" s="167">
        <v>307</v>
      </c>
      <c r="O79" s="167">
        <f>(67.56+68.9)/2</f>
        <v>68.23</v>
      </c>
      <c r="P79" s="168">
        <v>119.5</v>
      </c>
      <c r="Q79" s="167">
        <v>109.9</v>
      </c>
      <c r="R79" s="167">
        <v>116.1</v>
      </c>
      <c r="S79" s="167"/>
    </row>
    <row r="80" spans="1:19" s="152" customFormat="1" x14ac:dyDescent="0.35">
      <c r="A80" s="159">
        <v>75</v>
      </c>
      <c r="B80" s="160">
        <v>43525</v>
      </c>
      <c r="C80" s="167">
        <v>309</v>
      </c>
      <c r="D80" s="161">
        <v>1</v>
      </c>
      <c r="E80" s="161">
        <f t="shared" si="1"/>
        <v>309</v>
      </c>
      <c r="F80" s="168">
        <f>(69.05+68.2)/2</f>
        <v>68.625</v>
      </c>
      <c r="G80" s="168">
        <v>119.9</v>
      </c>
      <c r="H80" s="167">
        <v>110.1</v>
      </c>
      <c r="I80" s="167">
        <v>116.4</v>
      </c>
      <c r="J80" s="167"/>
      <c r="L80" s="159">
        <v>75</v>
      </c>
      <c r="M80" s="160">
        <v>43525</v>
      </c>
      <c r="N80" s="167">
        <v>309</v>
      </c>
      <c r="O80" s="168">
        <f>(69.05+68.2)/2</f>
        <v>68.625</v>
      </c>
      <c r="P80" s="168">
        <v>119.9</v>
      </c>
      <c r="Q80" s="167">
        <v>110.1</v>
      </c>
      <c r="R80" s="167">
        <v>116.4</v>
      </c>
      <c r="S80" s="167"/>
    </row>
    <row r="81" spans="1:19" s="152" customFormat="1" x14ac:dyDescent="0.35">
      <c r="A81" s="159">
        <v>76</v>
      </c>
      <c r="B81" s="160">
        <v>43556</v>
      </c>
      <c r="C81" s="161">
        <v>312</v>
      </c>
      <c r="D81" s="161">
        <v>1</v>
      </c>
      <c r="E81" s="161">
        <f t="shared" si="1"/>
        <v>312</v>
      </c>
      <c r="F81" s="159">
        <f>(68.01+68.65)/2</f>
        <v>68.330000000000013</v>
      </c>
      <c r="G81" s="159">
        <v>121.1</v>
      </c>
      <c r="H81" s="159">
        <v>110.1</v>
      </c>
      <c r="I81" s="159">
        <v>119.6</v>
      </c>
      <c r="J81" s="159"/>
      <c r="L81" s="159">
        <v>76</v>
      </c>
      <c r="M81" s="160">
        <v>43556</v>
      </c>
      <c r="N81" s="161">
        <v>312</v>
      </c>
      <c r="O81" s="159">
        <f>(68.01+68.65)/2</f>
        <v>68.330000000000013</v>
      </c>
      <c r="P81" s="159">
        <v>121.1</v>
      </c>
      <c r="Q81" s="159">
        <v>110.1</v>
      </c>
      <c r="R81" s="159">
        <v>119.6</v>
      </c>
      <c r="S81" s="159"/>
    </row>
    <row r="82" spans="1:19" s="152" customFormat="1" x14ac:dyDescent="0.35">
      <c r="A82" s="159">
        <v>77</v>
      </c>
      <c r="B82" s="160">
        <v>43586</v>
      </c>
      <c r="C82" s="161">
        <v>314</v>
      </c>
      <c r="D82" s="161">
        <v>1</v>
      </c>
      <c r="E82" s="161">
        <f t="shared" si="1"/>
        <v>314</v>
      </c>
      <c r="F82" s="161">
        <f>(68.6+68.44)/2</f>
        <v>68.52</v>
      </c>
      <c r="G82" s="161">
        <v>121.6</v>
      </c>
      <c r="H82" s="161">
        <v>109.4</v>
      </c>
      <c r="I82" s="161">
        <v>123.2</v>
      </c>
      <c r="J82" s="159"/>
      <c r="L82" s="159">
        <v>1</v>
      </c>
      <c r="M82" s="160">
        <v>43586</v>
      </c>
      <c r="N82" s="161">
        <v>314</v>
      </c>
      <c r="O82" s="161">
        <f>(68.6+68.44)/2</f>
        <v>68.52</v>
      </c>
      <c r="P82" s="161">
        <v>121.6</v>
      </c>
      <c r="Q82" s="161">
        <v>109.4</v>
      </c>
      <c r="R82" s="161">
        <v>123.2</v>
      </c>
      <c r="S82" s="159"/>
    </row>
    <row r="83" spans="1:19" s="152" customFormat="1" x14ac:dyDescent="0.35">
      <c r="A83" s="159">
        <v>78</v>
      </c>
      <c r="B83" s="160">
        <v>43617</v>
      </c>
      <c r="C83" s="161">
        <v>316</v>
      </c>
      <c r="D83" s="161">
        <v>1</v>
      </c>
      <c r="E83" s="161">
        <f t="shared" si="1"/>
        <v>316</v>
      </c>
      <c r="F83" s="161">
        <f>(68.28+66.03)/2</f>
        <v>67.155000000000001</v>
      </c>
      <c r="G83" s="161">
        <v>121.5</v>
      </c>
      <c r="H83" s="161">
        <v>108.4</v>
      </c>
      <c r="I83" s="161">
        <v>122.5</v>
      </c>
      <c r="J83" s="159"/>
      <c r="L83" s="159">
        <f>+L82+1</f>
        <v>2</v>
      </c>
      <c r="M83" s="160">
        <v>43617</v>
      </c>
      <c r="N83" s="161">
        <v>316</v>
      </c>
      <c r="O83" s="161">
        <f>(68.28+66.03)/2</f>
        <v>67.155000000000001</v>
      </c>
      <c r="P83" s="161">
        <v>121.5</v>
      </c>
      <c r="Q83" s="161">
        <v>108.4</v>
      </c>
      <c r="R83" s="161">
        <v>122.5</v>
      </c>
      <c r="S83" s="159"/>
    </row>
    <row r="84" spans="1:19" s="152" customFormat="1" x14ac:dyDescent="0.35">
      <c r="A84" s="159">
        <v>79</v>
      </c>
      <c r="B84" s="160">
        <v>43647</v>
      </c>
      <c r="C84" s="161">
        <v>319</v>
      </c>
      <c r="D84" s="161">
        <v>1</v>
      </c>
      <c r="E84" s="161">
        <f t="shared" si="1"/>
        <v>319</v>
      </c>
      <c r="F84" s="161">
        <f>(66.14+67.93)/2</f>
        <v>67.034999999999997</v>
      </c>
      <c r="G84" s="161">
        <v>121.3</v>
      </c>
      <c r="H84" s="161">
        <v>106.1</v>
      </c>
      <c r="I84" s="161">
        <v>120.6</v>
      </c>
      <c r="J84" s="159"/>
      <c r="L84" s="159">
        <f t="shared" ref="L84:L147" si="2">+L83+1</f>
        <v>3</v>
      </c>
      <c r="M84" s="160">
        <v>43647</v>
      </c>
      <c r="N84" s="161">
        <v>319</v>
      </c>
      <c r="O84" s="161">
        <f>(66.14+67.93)/2</f>
        <v>67.034999999999997</v>
      </c>
      <c r="P84" s="161">
        <v>121.3</v>
      </c>
      <c r="Q84" s="161">
        <v>106.1</v>
      </c>
      <c r="R84" s="161">
        <v>120.6</v>
      </c>
      <c r="S84" s="159"/>
    </row>
    <row r="85" spans="1:19" s="152" customFormat="1" x14ac:dyDescent="0.35">
      <c r="A85" s="159">
        <v>80</v>
      </c>
      <c r="B85" s="160">
        <v>43678</v>
      </c>
      <c r="C85" s="161">
        <v>320</v>
      </c>
      <c r="D85" s="161">
        <v>1</v>
      </c>
      <c r="E85" s="161">
        <f t="shared" si="1"/>
        <v>320</v>
      </c>
      <c r="F85" s="161">
        <f>(67.87+67.11)/2</f>
        <v>67.490000000000009</v>
      </c>
      <c r="G85" s="161">
        <v>121.5</v>
      </c>
      <c r="H85" s="161">
        <v>104.2</v>
      </c>
      <c r="I85" s="161">
        <v>118.5</v>
      </c>
      <c r="J85" s="159"/>
      <c r="L85" s="159">
        <f t="shared" si="2"/>
        <v>4</v>
      </c>
      <c r="M85" s="160">
        <v>43678</v>
      </c>
      <c r="N85" s="161">
        <v>320</v>
      </c>
      <c r="O85" s="161">
        <f>(67.87+67.11)/2</f>
        <v>67.490000000000009</v>
      </c>
      <c r="P85" s="161">
        <v>121.5</v>
      </c>
      <c r="Q85" s="161">
        <v>104.2</v>
      </c>
      <c r="R85" s="161">
        <v>118.5</v>
      </c>
      <c r="S85" s="159"/>
    </row>
    <row r="86" spans="1:19" s="152" customFormat="1" x14ac:dyDescent="0.35">
      <c r="A86" s="159">
        <v>81</v>
      </c>
      <c r="B86" s="160">
        <v>43709</v>
      </c>
      <c r="C86" s="161">
        <v>322</v>
      </c>
      <c r="D86" s="161">
        <v>1</v>
      </c>
      <c r="E86" s="161">
        <f t="shared" si="1"/>
        <v>322</v>
      </c>
      <c r="F86" s="161">
        <f>(67.08+69.29)/2</f>
        <v>68.185000000000002</v>
      </c>
      <c r="G86" s="161">
        <v>121.3</v>
      </c>
      <c r="H86" s="161">
        <v>103.4</v>
      </c>
      <c r="I86" s="161">
        <v>120.7</v>
      </c>
      <c r="J86" s="159"/>
      <c r="L86" s="159">
        <f t="shared" si="2"/>
        <v>5</v>
      </c>
      <c r="M86" s="160">
        <v>43709</v>
      </c>
      <c r="N86" s="161">
        <v>322</v>
      </c>
      <c r="O86" s="161">
        <f>(67.08+69.29)/2</f>
        <v>68.185000000000002</v>
      </c>
      <c r="P86" s="161">
        <v>121.3</v>
      </c>
      <c r="Q86" s="161">
        <v>103.4</v>
      </c>
      <c r="R86" s="161">
        <v>120.7</v>
      </c>
      <c r="S86" s="159"/>
    </row>
    <row r="87" spans="1:19" s="152" customFormat="1" x14ac:dyDescent="0.35">
      <c r="A87" s="159">
        <v>82</v>
      </c>
      <c r="B87" s="160">
        <v>43739</v>
      </c>
      <c r="C87" s="161">
        <v>325</v>
      </c>
      <c r="D87" s="161">
        <v>1</v>
      </c>
      <c r="E87" s="161">
        <f t="shared" si="1"/>
        <v>325</v>
      </c>
      <c r="F87" s="161">
        <f>(69.48+67.78)/2</f>
        <v>68.63</v>
      </c>
      <c r="G87" s="161">
        <v>122</v>
      </c>
      <c r="H87" s="161">
        <v>102.6</v>
      </c>
      <c r="I87" s="161">
        <v>118.6</v>
      </c>
      <c r="J87" s="159"/>
      <c r="L87" s="159">
        <f t="shared" si="2"/>
        <v>6</v>
      </c>
      <c r="M87" s="160">
        <v>43739</v>
      </c>
      <c r="N87" s="161">
        <v>325</v>
      </c>
      <c r="O87" s="161">
        <f>(69.48+67.78)/2</f>
        <v>68.63</v>
      </c>
      <c r="P87" s="161">
        <v>122</v>
      </c>
      <c r="Q87" s="161">
        <v>102.6</v>
      </c>
      <c r="R87" s="161">
        <v>118.6</v>
      </c>
      <c r="S87" s="159"/>
    </row>
    <row r="88" spans="1:19" s="152" customFormat="1" x14ac:dyDescent="0.35">
      <c r="A88" s="159">
        <v>83</v>
      </c>
      <c r="B88" s="160">
        <v>43770</v>
      </c>
      <c r="C88" s="161">
        <v>328</v>
      </c>
      <c r="D88" s="161">
        <v>1</v>
      </c>
      <c r="E88" s="161">
        <f t="shared" si="1"/>
        <v>328</v>
      </c>
      <c r="F88" s="161">
        <f>(67.67+67.65)/2</f>
        <v>67.66</v>
      </c>
      <c r="G88" s="161">
        <v>122.3</v>
      </c>
      <c r="H88" s="161">
        <v>101.9</v>
      </c>
      <c r="I88" s="161">
        <v>119.6</v>
      </c>
      <c r="J88" s="159"/>
      <c r="L88" s="159">
        <f t="shared" si="2"/>
        <v>7</v>
      </c>
      <c r="M88" s="160">
        <v>43770</v>
      </c>
      <c r="N88" s="161">
        <v>328</v>
      </c>
      <c r="O88" s="161">
        <f>(67.67+67.65)/2</f>
        <v>67.66</v>
      </c>
      <c r="P88" s="161">
        <v>122.3</v>
      </c>
      <c r="Q88" s="161">
        <v>101.9</v>
      </c>
      <c r="R88" s="161">
        <v>119.6</v>
      </c>
      <c r="S88" s="159"/>
    </row>
    <row r="89" spans="1:19" s="152" customFormat="1" x14ac:dyDescent="0.35">
      <c r="A89" s="159">
        <v>84</v>
      </c>
      <c r="B89" s="160">
        <v>43800</v>
      </c>
      <c r="C89" s="161">
        <v>330</v>
      </c>
      <c r="D89" s="161">
        <v>1</v>
      </c>
      <c r="E89" s="161">
        <f t="shared" si="1"/>
        <v>330</v>
      </c>
      <c r="F89" s="161">
        <f>(67.74+69.95)/2</f>
        <v>68.844999999999999</v>
      </c>
      <c r="G89" s="161">
        <v>122.8</v>
      </c>
      <c r="H89" s="161">
        <v>103.1</v>
      </c>
      <c r="I89" s="161">
        <v>119.2</v>
      </c>
      <c r="J89" s="159"/>
      <c r="L89" s="159">
        <f t="shared" si="2"/>
        <v>8</v>
      </c>
      <c r="M89" s="160">
        <v>43800</v>
      </c>
      <c r="N89" s="161">
        <v>330</v>
      </c>
      <c r="O89" s="161">
        <f>(67.74+69.95)/2</f>
        <v>68.844999999999999</v>
      </c>
      <c r="P89" s="161">
        <v>122.8</v>
      </c>
      <c r="Q89" s="161">
        <v>103.1</v>
      </c>
      <c r="R89" s="161">
        <v>119.2</v>
      </c>
      <c r="S89" s="159"/>
    </row>
    <row r="90" spans="1:19" s="152" customFormat="1" x14ac:dyDescent="0.35">
      <c r="A90" s="159">
        <v>85</v>
      </c>
      <c r="B90" s="160">
        <v>43831</v>
      </c>
      <c r="C90" s="161">
        <v>330</v>
      </c>
      <c r="D90" s="161">
        <v>1</v>
      </c>
      <c r="E90" s="161">
        <f t="shared" si="1"/>
        <v>330</v>
      </c>
      <c r="F90" s="161">
        <f>(70.11+68.23)/2</f>
        <v>69.17</v>
      </c>
      <c r="G90" s="161">
        <v>123.4</v>
      </c>
      <c r="H90" s="161">
        <v>104.9</v>
      </c>
      <c r="I90" s="161">
        <v>118</v>
      </c>
      <c r="J90" s="159"/>
      <c r="L90" s="159">
        <f t="shared" si="2"/>
        <v>9</v>
      </c>
      <c r="M90" s="160">
        <v>43831</v>
      </c>
      <c r="N90" s="161">
        <v>330</v>
      </c>
      <c r="O90" s="161">
        <f>(70.11+68.23)/2</f>
        <v>69.17</v>
      </c>
      <c r="P90" s="161">
        <v>123.4</v>
      </c>
      <c r="Q90" s="161">
        <v>104.9</v>
      </c>
      <c r="R90" s="161">
        <v>118</v>
      </c>
      <c r="S90" s="159"/>
    </row>
    <row r="91" spans="1:19" s="152" customFormat="1" x14ac:dyDescent="0.35">
      <c r="A91" s="159">
        <v>86</v>
      </c>
      <c r="B91" s="160">
        <v>43862</v>
      </c>
      <c r="C91" s="161">
        <v>328</v>
      </c>
      <c r="D91" s="161">
        <v>1</v>
      </c>
      <c r="E91" s="161">
        <f t="shared" si="1"/>
        <v>328</v>
      </c>
      <c r="F91" s="161">
        <f>(68.11+66.29)/2</f>
        <v>67.2</v>
      </c>
      <c r="G91" s="161">
        <v>122.2</v>
      </c>
      <c r="H91" s="161">
        <v>105.6</v>
      </c>
      <c r="I91" s="161">
        <v>119.8</v>
      </c>
      <c r="J91" s="159"/>
      <c r="L91" s="159">
        <f t="shared" si="2"/>
        <v>10</v>
      </c>
      <c r="M91" s="160">
        <v>43862</v>
      </c>
      <c r="N91" s="161">
        <v>328</v>
      </c>
      <c r="O91" s="161">
        <f>(68.11+66.29)/2</f>
        <v>67.2</v>
      </c>
      <c r="P91" s="161">
        <v>122.2</v>
      </c>
      <c r="Q91" s="161">
        <v>105.6</v>
      </c>
      <c r="R91" s="161">
        <v>119.8</v>
      </c>
      <c r="S91" s="159"/>
    </row>
    <row r="92" spans="1:19" x14ac:dyDescent="0.35">
      <c r="A92" s="159">
        <v>87</v>
      </c>
      <c r="B92" s="160">
        <v>43891</v>
      </c>
      <c r="C92" s="161">
        <v>326</v>
      </c>
      <c r="D92" s="161">
        <v>1</v>
      </c>
      <c r="E92" s="161">
        <f t="shared" si="1"/>
        <v>326</v>
      </c>
      <c r="F92" s="161">
        <f>(66.06+63.98)/2</f>
        <v>65.02</v>
      </c>
      <c r="G92" s="161">
        <v>120.4</v>
      </c>
      <c r="H92" s="161">
        <v>106.6</v>
      </c>
      <c r="I92" s="161">
        <v>119.7</v>
      </c>
      <c r="J92" s="159"/>
      <c r="L92" s="159">
        <f t="shared" si="2"/>
        <v>11</v>
      </c>
      <c r="M92" s="160">
        <v>43891</v>
      </c>
      <c r="N92" s="161">
        <v>326</v>
      </c>
      <c r="O92" s="161">
        <f>(66.06+63.98)/2</f>
        <v>65.02</v>
      </c>
      <c r="P92" s="161">
        <v>120.4</v>
      </c>
      <c r="Q92" s="161">
        <v>106.6</v>
      </c>
      <c r="R92" s="161">
        <v>119.7</v>
      </c>
      <c r="S92" s="159"/>
    </row>
    <row r="93" spans="1:19" x14ac:dyDescent="0.35">
      <c r="A93" s="159">
        <v>88</v>
      </c>
      <c r="B93" s="160">
        <v>43922</v>
      </c>
      <c r="C93" s="161">
        <v>329</v>
      </c>
      <c r="D93" s="161">
        <v>1</v>
      </c>
      <c r="E93" s="161">
        <f t="shared" si="1"/>
        <v>329</v>
      </c>
      <c r="F93" s="161">
        <v>64.98</v>
      </c>
      <c r="G93" s="161">
        <v>119.2</v>
      </c>
      <c r="H93" s="161">
        <v>106.2</v>
      </c>
      <c r="I93" s="161">
        <v>123.3</v>
      </c>
      <c r="J93" s="159"/>
      <c r="L93" s="159">
        <f t="shared" si="2"/>
        <v>12</v>
      </c>
      <c r="M93" s="160">
        <v>43922</v>
      </c>
      <c r="N93" s="161">
        <v>329</v>
      </c>
      <c r="O93" s="161">
        <v>64.98</v>
      </c>
      <c r="P93" s="161">
        <v>119.2</v>
      </c>
      <c r="Q93" s="161">
        <v>106.2</v>
      </c>
      <c r="R93" s="161">
        <v>123.3</v>
      </c>
      <c r="S93" s="159"/>
    </row>
    <row r="94" spans="1:19" x14ac:dyDescent="0.35">
      <c r="A94" s="159">
        <v>89</v>
      </c>
      <c r="B94" s="160">
        <v>43952</v>
      </c>
      <c r="C94" s="161">
        <v>330</v>
      </c>
      <c r="D94" s="161">
        <v>1</v>
      </c>
      <c r="E94" s="161">
        <f t="shared" si="1"/>
        <v>330</v>
      </c>
      <c r="F94" s="161">
        <v>64.98</v>
      </c>
      <c r="G94" s="161">
        <v>117.5</v>
      </c>
      <c r="H94" s="161">
        <v>105.6</v>
      </c>
      <c r="I94" s="161">
        <v>124.6</v>
      </c>
      <c r="J94" s="159"/>
      <c r="L94" s="159">
        <f t="shared" si="2"/>
        <v>13</v>
      </c>
      <c r="M94" s="160">
        <v>43952</v>
      </c>
      <c r="N94" s="161">
        <v>330</v>
      </c>
      <c r="O94" s="161">
        <v>64.98</v>
      </c>
      <c r="P94" s="161">
        <v>117.5</v>
      </c>
      <c r="Q94" s="161">
        <v>105.6</v>
      </c>
      <c r="R94" s="161">
        <v>124.6</v>
      </c>
      <c r="S94" s="159"/>
    </row>
    <row r="95" spans="1:19" x14ac:dyDescent="0.35">
      <c r="A95" s="159">
        <v>90</v>
      </c>
      <c r="B95" s="160">
        <v>43983</v>
      </c>
      <c r="C95" s="161">
        <v>332</v>
      </c>
      <c r="D95" s="161">
        <v>1</v>
      </c>
      <c r="E95" s="161">
        <f t="shared" si="1"/>
        <v>332</v>
      </c>
      <c r="F95" s="161">
        <f>(66.99+77.35)/2</f>
        <v>72.169999999999987</v>
      </c>
      <c r="G95" s="161">
        <v>119.3</v>
      </c>
      <c r="H95" s="161">
        <v>104.8</v>
      </c>
      <c r="I95" s="161">
        <v>123.2</v>
      </c>
      <c r="J95" s="159"/>
      <c r="L95" s="159">
        <f t="shared" si="2"/>
        <v>14</v>
      </c>
      <c r="M95" s="160">
        <v>43983</v>
      </c>
      <c r="N95" s="161">
        <v>332</v>
      </c>
      <c r="O95" s="161">
        <f>(66.99+77.35)/2</f>
        <v>72.169999999999987</v>
      </c>
      <c r="P95" s="161">
        <v>119.3</v>
      </c>
      <c r="Q95" s="161">
        <v>104.8</v>
      </c>
      <c r="R95" s="161">
        <v>123.2</v>
      </c>
      <c r="S95" s="159"/>
    </row>
    <row r="96" spans="1:19" x14ac:dyDescent="0.35">
      <c r="A96" s="159">
        <v>91</v>
      </c>
      <c r="B96" s="160">
        <v>44013</v>
      </c>
      <c r="C96" s="161">
        <v>336</v>
      </c>
      <c r="D96" s="161">
        <v>1</v>
      </c>
      <c r="E96" s="161">
        <f t="shared" si="1"/>
        <v>336</v>
      </c>
      <c r="F96" s="161">
        <f>(77.6+78.67)/2</f>
        <v>78.134999999999991</v>
      </c>
      <c r="G96" s="161">
        <v>121</v>
      </c>
      <c r="H96" s="161">
        <v>102.8</v>
      </c>
      <c r="I96" s="161">
        <v>121.5</v>
      </c>
      <c r="J96" s="159"/>
      <c r="L96" s="159">
        <f t="shared" si="2"/>
        <v>15</v>
      </c>
      <c r="M96" s="160">
        <v>44013</v>
      </c>
      <c r="N96" s="161">
        <v>336</v>
      </c>
      <c r="O96" s="161">
        <f>(77.6+78.67)/2</f>
        <v>78.134999999999991</v>
      </c>
      <c r="P96" s="161">
        <v>121</v>
      </c>
      <c r="Q96" s="161">
        <v>102.8</v>
      </c>
      <c r="R96" s="161">
        <v>121.5</v>
      </c>
      <c r="S96" s="159"/>
    </row>
    <row r="97" spans="1:19" x14ac:dyDescent="0.35">
      <c r="A97" s="159">
        <v>92</v>
      </c>
      <c r="B97" s="160">
        <v>44044</v>
      </c>
      <c r="C97" s="161">
        <v>338</v>
      </c>
      <c r="D97" s="161">
        <v>1</v>
      </c>
      <c r="E97" s="161">
        <f t="shared" si="1"/>
        <v>338</v>
      </c>
      <c r="F97" s="161">
        <v>78.67</v>
      </c>
      <c r="G97" s="161">
        <v>122</v>
      </c>
      <c r="H97" s="161">
        <v>104.5</v>
      </c>
      <c r="I97" s="161">
        <v>119.7</v>
      </c>
      <c r="J97" s="159"/>
      <c r="L97" s="159">
        <f t="shared" si="2"/>
        <v>16</v>
      </c>
      <c r="M97" s="160">
        <v>44044</v>
      </c>
      <c r="N97" s="161">
        <v>338</v>
      </c>
      <c r="O97" s="161">
        <v>78.67</v>
      </c>
      <c r="P97" s="161">
        <v>122</v>
      </c>
      <c r="Q97" s="161">
        <v>104.5</v>
      </c>
      <c r="R97" s="161">
        <v>119.7</v>
      </c>
      <c r="S97" s="159"/>
    </row>
    <row r="98" spans="1:19" x14ac:dyDescent="0.35">
      <c r="A98" s="159">
        <v>93</v>
      </c>
      <c r="B98" s="160">
        <v>44075</v>
      </c>
      <c r="C98" s="161">
        <v>114.7</v>
      </c>
      <c r="D98" s="161">
        <v>3.22</v>
      </c>
      <c r="E98" s="161">
        <f t="shared" si="1"/>
        <v>369.334</v>
      </c>
      <c r="F98" s="161">
        <f>(78.51+75.67)/2</f>
        <v>77.09</v>
      </c>
      <c r="G98" s="161">
        <v>122.9</v>
      </c>
      <c r="H98" s="161">
        <v>106.3</v>
      </c>
      <c r="I98" s="161">
        <v>118.3</v>
      </c>
      <c r="J98" s="159"/>
      <c r="L98" s="159">
        <f t="shared" si="2"/>
        <v>17</v>
      </c>
      <c r="M98" s="160">
        <v>44075</v>
      </c>
      <c r="N98" s="161">
        <v>369.334</v>
      </c>
      <c r="O98" s="161">
        <f>(78.51+75.67)/2</f>
        <v>77.09</v>
      </c>
      <c r="P98" s="161">
        <v>122.9</v>
      </c>
      <c r="Q98" s="161">
        <v>106.3</v>
      </c>
      <c r="R98" s="161">
        <v>118.3</v>
      </c>
      <c r="S98" s="159"/>
    </row>
    <row r="99" spans="1:19" x14ac:dyDescent="0.35">
      <c r="A99" s="159">
        <v>94</v>
      </c>
      <c r="B99" s="160">
        <v>44105</v>
      </c>
      <c r="C99" s="161">
        <v>115.3</v>
      </c>
      <c r="D99" s="161">
        <v>3.22</v>
      </c>
      <c r="E99" s="161">
        <f t="shared" si="1"/>
        <v>371.26600000000002</v>
      </c>
      <c r="F99" s="161">
        <f>(75.57+75.48)/2</f>
        <v>75.525000000000006</v>
      </c>
      <c r="G99" s="161">
        <v>123.6</v>
      </c>
      <c r="H99" s="161">
        <v>108</v>
      </c>
      <c r="I99" s="161">
        <v>117.8</v>
      </c>
      <c r="J99" s="159"/>
      <c r="L99" s="159">
        <f t="shared" si="2"/>
        <v>18</v>
      </c>
      <c r="M99" s="160">
        <v>44105</v>
      </c>
      <c r="N99" s="161">
        <v>371.26600000000002</v>
      </c>
      <c r="O99" s="161">
        <f>(75.57+75.48)/2</f>
        <v>75.525000000000006</v>
      </c>
      <c r="P99" s="161">
        <v>123.6</v>
      </c>
      <c r="Q99" s="161">
        <v>108</v>
      </c>
      <c r="R99" s="161">
        <v>117.8</v>
      </c>
      <c r="S99" s="159"/>
    </row>
    <row r="100" spans="1:19" x14ac:dyDescent="0.35">
      <c r="A100" s="159">
        <v>95</v>
      </c>
      <c r="B100" s="160">
        <v>44136</v>
      </c>
      <c r="C100" s="161">
        <v>115.8</v>
      </c>
      <c r="D100" s="161">
        <v>3.22</v>
      </c>
      <c r="E100" s="161">
        <f t="shared" si="1"/>
        <v>372.87600000000003</v>
      </c>
      <c r="F100" s="161">
        <f>(75.71+77.47)/2</f>
        <v>76.59</v>
      </c>
      <c r="G100" s="161">
        <v>125.1</v>
      </c>
      <c r="H100" s="161">
        <v>112.8</v>
      </c>
      <c r="I100" s="161">
        <v>118.7</v>
      </c>
      <c r="J100" s="159"/>
      <c r="L100" s="159">
        <f t="shared" si="2"/>
        <v>19</v>
      </c>
      <c r="M100" s="160">
        <v>44136</v>
      </c>
      <c r="N100" s="161">
        <v>372.87600000000003</v>
      </c>
      <c r="O100" s="161">
        <f>(75.71+77.47)/2</f>
        <v>76.59</v>
      </c>
      <c r="P100" s="161">
        <v>125.1</v>
      </c>
      <c r="Q100" s="161">
        <v>112.8</v>
      </c>
      <c r="R100" s="161">
        <v>118.7</v>
      </c>
      <c r="S100" s="159"/>
    </row>
    <row r="101" spans="1:19" x14ac:dyDescent="0.35">
      <c r="A101" s="159">
        <v>96</v>
      </c>
      <c r="B101" s="160">
        <v>44166</v>
      </c>
      <c r="C101" s="161">
        <v>115.4</v>
      </c>
      <c r="D101" s="161">
        <v>3.22</v>
      </c>
      <c r="E101" s="161">
        <f t="shared" si="1"/>
        <v>371.58800000000002</v>
      </c>
      <c r="F101" s="161">
        <f>(77.71+78.97)/2</f>
        <v>78.34</v>
      </c>
      <c r="G101" s="161">
        <v>125.4</v>
      </c>
      <c r="H101" s="161">
        <v>118.2</v>
      </c>
      <c r="I101" s="161">
        <v>118.1</v>
      </c>
      <c r="J101" s="159"/>
      <c r="L101" s="159">
        <f t="shared" si="2"/>
        <v>20</v>
      </c>
      <c r="M101" s="160">
        <v>44166</v>
      </c>
      <c r="N101" s="161">
        <v>371.58800000000002</v>
      </c>
      <c r="O101" s="161">
        <f>(77.71+78.97)/2</f>
        <v>78.34</v>
      </c>
      <c r="P101" s="161">
        <v>125.4</v>
      </c>
      <c r="Q101" s="161">
        <v>118.2</v>
      </c>
      <c r="R101" s="161">
        <v>118.1</v>
      </c>
      <c r="S101" s="159"/>
    </row>
    <row r="102" spans="1:19" x14ac:dyDescent="0.35">
      <c r="A102" s="159">
        <v>97</v>
      </c>
      <c r="B102" s="160">
        <v>44197</v>
      </c>
      <c r="C102" s="161">
        <v>115.5</v>
      </c>
      <c r="D102" s="161">
        <v>3.22</v>
      </c>
      <c r="E102" s="161">
        <f t="shared" si="1"/>
        <v>371.91</v>
      </c>
      <c r="F102" s="161">
        <f>(79.25+81.72)/2</f>
        <v>80.484999999999999</v>
      </c>
      <c r="G102" s="161">
        <v>126.5</v>
      </c>
      <c r="H102" s="161">
        <v>125.6</v>
      </c>
      <c r="I102" s="161">
        <v>118.5</v>
      </c>
      <c r="J102" s="159"/>
      <c r="L102" s="159">
        <f t="shared" si="2"/>
        <v>21</v>
      </c>
      <c r="M102" s="160">
        <v>44197</v>
      </c>
      <c r="N102" s="161">
        <v>371.91</v>
      </c>
      <c r="O102" s="161">
        <f>(79.25+81.72)/2</f>
        <v>80.484999999999999</v>
      </c>
      <c r="P102" s="161">
        <v>126.5</v>
      </c>
      <c r="Q102" s="161">
        <v>125.6</v>
      </c>
      <c r="R102" s="161">
        <v>118.5</v>
      </c>
      <c r="S102" s="159"/>
    </row>
    <row r="103" spans="1:19" x14ac:dyDescent="0.35">
      <c r="A103" s="159">
        <v>98</v>
      </c>
      <c r="B103" s="160">
        <v>44228</v>
      </c>
      <c r="C103" s="161">
        <v>116.3</v>
      </c>
      <c r="D103" s="161">
        <v>3.22</v>
      </c>
      <c r="E103" s="161">
        <f t="shared" si="1"/>
        <v>374.48599999999999</v>
      </c>
      <c r="F103" s="161">
        <f>(82.07+86.88)/2</f>
        <v>84.474999999999994</v>
      </c>
      <c r="G103" s="161">
        <v>128.1</v>
      </c>
      <c r="H103" s="161">
        <v>124.7</v>
      </c>
      <c r="I103" s="161">
        <v>120.6</v>
      </c>
      <c r="J103" s="159"/>
      <c r="L103" s="159">
        <f t="shared" si="2"/>
        <v>22</v>
      </c>
      <c r="M103" s="160">
        <v>44228</v>
      </c>
      <c r="N103" s="161">
        <v>374.48599999999999</v>
      </c>
      <c r="O103" s="161">
        <f>(82.07+86.88)/2</f>
        <v>84.474999999999994</v>
      </c>
      <c r="P103" s="161">
        <v>128.1</v>
      </c>
      <c r="Q103" s="161">
        <v>124.7</v>
      </c>
      <c r="R103" s="161">
        <v>120.6</v>
      </c>
      <c r="S103" s="159"/>
    </row>
    <row r="104" spans="1:19" x14ac:dyDescent="0.35">
      <c r="A104" s="159">
        <v>99</v>
      </c>
      <c r="B104" s="160">
        <v>44256</v>
      </c>
      <c r="C104" s="161">
        <v>117.1</v>
      </c>
      <c r="D104" s="161">
        <v>3.22</v>
      </c>
      <c r="E104" s="161">
        <f t="shared" si="1"/>
        <v>377.06200000000001</v>
      </c>
      <c r="F104" s="161">
        <f>(86.7+86.26)/2</f>
        <v>86.48</v>
      </c>
      <c r="G104" s="161">
        <v>129.9</v>
      </c>
      <c r="H104" s="161">
        <v>124.6</v>
      </c>
      <c r="I104" s="161">
        <v>125</v>
      </c>
      <c r="J104" s="159"/>
      <c r="L104" s="159">
        <f t="shared" si="2"/>
        <v>23</v>
      </c>
      <c r="M104" s="160">
        <v>44256</v>
      </c>
      <c r="N104" s="161">
        <v>377.06200000000001</v>
      </c>
      <c r="O104" s="161">
        <f>(86.7+86.26)/2</f>
        <v>86.48</v>
      </c>
      <c r="P104" s="161">
        <v>129.9</v>
      </c>
      <c r="Q104" s="161">
        <v>124.6</v>
      </c>
      <c r="R104" s="161">
        <v>125</v>
      </c>
      <c r="S104" s="159"/>
    </row>
    <row r="105" spans="1:19" x14ac:dyDescent="0.35">
      <c r="A105" s="159">
        <v>100</v>
      </c>
      <c r="B105" s="160">
        <v>44287</v>
      </c>
      <c r="C105" s="161">
        <v>117.9</v>
      </c>
      <c r="D105" s="161">
        <v>3.22</v>
      </c>
      <c r="E105" s="161">
        <f t="shared" si="1"/>
        <v>379.63800000000003</v>
      </c>
      <c r="F105" s="161">
        <v>86.11</v>
      </c>
      <c r="G105" s="161">
        <v>132</v>
      </c>
      <c r="H105" s="161">
        <v>127.6</v>
      </c>
      <c r="I105" s="161">
        <v>125.7</v>
      </c>
      <c r="J105" s="159"/>
      <c r="L105" s="159">
        <f t="shared" si="2"/>
        <v>24</v>
      </c>
      <c r="M105" s="160">
        <v>44287</v>
      </c>
      <c r="N105" s="161">
        <v>379.63800000000003</v>
      </c>
      <c r="O105" s="161">
        <v>86.11</v>
      </c>
      <c r="P105" s="161">
        <v>132</v>
      </c>
      <c r="Q105" s="161">
        <v>127.6</v>
      </c>
      <c r="R105" s="161">
        <v>125.7</v>
      </c>
      <c r="S105" s="159"/>
    </row>
    <row r="106" spans="1:19" x14ac:dyDescent="0.35">
      <c r="A106" s="159">
        <v>101</v>
      </c>
      <c r="B106" s="160">
        <v>44317</v>
      </c>
      <c r="C106" s="161">
        <v>117.1</v>
      </c>
      <c r="D106" s="161">
        <v>3.22</v>
      </c>
      <c r="E106" s="161">
        <f t="shared" si="1"/>
        <v>377.06200000000001</v>
      </c>
      <c r="F106" s="161">
        <f>(86.32+90.71)/2</f>
        <v>88.514999999999986</v>
      </c>
      <c r="G106" s="161">
        <v>132.9</v>
      </c>
      <c r="H106" s="161">
        <v>130.9</v>
      </c>
      <c r="I106" s="161">
        <v>123.6</v>
      </c>
      <c r="J106" s="159"/>
      <c r="L106" s="159">
        <f t="shared" si="2"/>
        <v>25</v>
      </c>
      <c r="M106" s="160">
        <v>44317</v>
      </c>
      <c r="N106" s="161">
        <v>377.06200000000001</v>
      </c>
      <c r="O106" s="161">
        <f>(86.32+90.71)/2</f>
        <v>88.514999999999986</v>
      </c>
      <c r="P106" s="161">
        <v>132.9</v>
      </c>
      <c r="Q106" s="161">
        <v>130.9</v>
      </c>
      <c r="R106" s="161">
        <v>123.6</v>
      </c>
      <c r="S106" s="159"/>
    </row>
    <row r="107" spans="1:19" x14ac:dyDescent="0.35">
      <c r="A107" s="159">
        <v>102</v>
      </c>
      <c r="B107" s="160">
        <v>44348</v>
      </c>
      <c r="C107" s="161">
        <v>119.1</v>
      </c>
      <c r="D107" s="161">
        <v>3.22</v>
      </c>
      <c r="E107" s="161">
        <f t="shared" si="1"/>
        <v>383.50200000000001</v>
      </c>
      <c r="F107" s="161">
        <f>(90.95+94.88)/2</f>
        <v>92.914999999999992</v>
      </c>
      <c r="G107" s="161">
        <v>133.69999999999999</v>
      </c>
      <c r="H107" s="161">
        <v>131.69999999999999</v>
      </c>
      <c r="I107" s="161">
        <v>123.6</v>
      </c>
      <c r="J107" s="159"/>
      <c r="L107" s="159">
        <f t="shared" si="2"/>
        <v>26</v>
      </c>
      <c r="M107" s="160">
        <v>44348</v>
      </c>
      <c r="N107" s="161">
        <v>383.50200000000001</v>
      </c>
      <c r="O107" s="161">
        <f>(90.95+94.88)/2</f>
        <v>92.914999999999992</v>
      </c>
      <c r="P107" s="161">
        <v>133.69999999999999</v>
      </c>
      <c r="Q107" s="161">
        <v>131.69999999999999</v>
      </c>
      <c r="R107" s="161">
        <v>123.6</v>
      </c>
      <c r="S107" s="159"/>
    </row>
    <row r="108" spans="1:19" x14ac:dyDescent="0.35">
      <c r="A108" s="159">
        <v>103</v>
      </c>
      <c r="B108" s="160">
        <v>44378</v>
      </c>
      <c r="C108" s="161">
        <v>120.8</v>
      </c>
      <c r="D108" s="161">
        <v>3.22</v>
      </c>
      <c r="E108" s="161">
        <f t="shared" si="1"/>
        <v>388.976</v>
      </c>
      <c r="F108" s="161">
        <f>(95.07+95.6)/2</f>
        <v>95.334999999999994</v>
      </c>
      <c r="G108" s="161">
        <v>135</v>
      </c>
      <c r="H108" s="161">
        <v>131.4</v>
      </c>
      <c r="I108" s="161">
        <v>124.7</v>
      </c>
      <c r="J108" s="159"/>
      <c r="L108" s="159">
        <f t="shared" si="2"/>
        <v>27</v>
      </c>
      <c r="M108" s="160">
        <v>44378</v>
      </c>
      <c r="N108" s="161">
        <v>388.976</v>
      </c>
      <c r="O108" s="161">
        <f>(95.07+95.6)/2</f>
        <v>95.334999999999994</v>
      </c>
      <c r="P108" s="161">
        <v>135</v>
      </c>
      <c r="Q108" s="161">
        <v>131.4</v>
      </c>
      <c r="R108" s="161">
        <v>124.7</v>
      </c>
      <c r="S108" s="159"/>
    </row>
    <row r="109" spans="1:19" x14ac:dyDescent="0.35">
      <c r="A109" s="159">
        <v>104</v>
      </c>
      <c r="B109" s="160">
        <v>44409</v>
      </c>
      <c r="C109" s="161">
        <v>120.4</v>
      </c>
      <c r="D109" s="161">
        <v>3.22</v>
      </c>
      <c r="E109" s="161">
        <f t="shared" si="1"/>
        <v>387.68800000000005</v>
      </c>
      <c r="F109" s="161">
        <f>(95.19+94.64)/2</f>
        <v>94.914999999999992</v>
      </c>
      <c r="G109" s="161">
        <v>136.19999999999999</v>
      </c>
      <c r="H109" s="161">
        <v>132.9</v>
      </c>
      <c r="I109" s="161">
        <v>123.3</v>
      </c>
      <c r="J109" s="159"/>
      <c r="L109" s="159">
        <f t="shared" si="2"/>
        <v>28</v>
      </c>
      <c r="M109" s="160">
        <v>44409</v>
      </c>
      <c r="N109" s="161">
        <v>387.68800000000005</v>
      </c>
      <c r="O109" s="161">
        <f>(95.19+94.64)/2</f>
        <v>94.914999999999992</v>
      </c>
      <c r="P109" s="161">
        <v>136.19999999999999</v>
      </c>
      <c r="Q109" s="161">
        <v>132.9</v>
      </c>
      <c r="R109" s="161">
        <v>123.3</v>
      </c>
      <c r="S109" s="159"/>
    </row>
    <row r="110" spans="1:19" x14ac:dyDescent="0.35">
      <c r="A110" s="159">
        <v>105</v>
      </c>
      <c r="B110" s="160">
        <v>44440</v>
      </c>
      <c r="C110" s="161">
        <v>119.9</v>
      </c>
      <c r="D110" s="161">
        <v>3.22</v>
      </c>
      <c r="E110" s="161">
        <f t="shared" si="1"/>
        <v>386.07800000000003</v>
      </c>
      <c r="F110" s="161">
        <f>(94.48+95.57)/2</f>
        <v>95.025000000000006</v>
      </c>
      <c r="G110" s="161">
        <v>137.4</v>
      </c>
      <c r="H110" s="161">
        <v>133.6</v>
      </c>
      <c r="I110" s="161">
        <v>122.6</v>
      </c>
      <c r="J110" s="159"/>
      <c r="L110" s="159">
        <f t="shared" si="2"/>
        <v>29</v>
      </c>
      <c r="M110" s="160">
        <v>44440</v>
      </c>
      <c r="N110" s="161">
        <v>386.07800000000003</v>
      </c>
      <c r="O110" s="161">
        <f>(94.48+95.57)/2</f>
        <v>95.025000000000006</v>
      </c>
      <c r="P110" s="161">
        <v>137.4</v>
      </c>
      <c r="Q110" s="161">
        <v>133.6</v>
      </c>
      <c r="R110" s="161">
        <v>122.6</v>
      </c>
      <c r="S110" s="159"/>
    </row>
    <row r="111" spans="1:19" x14ac:dyDescent="0.35">
      <c r="A111" s="159">
        <v>106</v>
      </c>
      <c r="B111" s="160">
        <v>44470</v>
      </c>
      <c r="C111" s="161">
        <v>121.1</v>
      </c>
      <c r="D111" s="161">
        <v>3.22</v>
      </c>
      <c r="E111" s="161">
        <f t="shared" si="1"/>
        <v>389.94200000000001</v>
      </c>
      <c r="F111" s="161">
        <f>(95.88+104.07)/2</f>
        <v>99.974999999999994</v>
      </c>
      <c r="G111" s="161">
        <v>140.69999999999999</v>
      </c>
      <c r="H111" s="161">
        <v>140.80000000000001</v>
      </c>
      <c r="I111" s="161">
        <v>125.3</v>
      </c>
      <c r="J111" s="159"/>
      <c r="L111" s="159">
        <f t="shared" si="2"/>
        <v>30</v>
      </c>
      <c r="M111" s="160">
        <v>44470</v>
      </c>
      <c r="N111" s="161">
        <v>389.94200000000001</v>
      </c>
      <c r="O111" s="161">
        <f>(95.88+104.07)/2</f>
        <v>99.974999999999994</v>
      </c>
      <c r="P111" s="161">
        <v>140.69999999999999</v>
      </c>
      <c r="Q111" s="161">
        <v>140.80000000000001</v>
      </c>
      <c r="R111" s="161">
        <v>125.3</v>
      </c>
      <c r="S111" s="159"/>
    </row>
    <row r="112" spans="1:19" x14ac:dyDescent="0.35">
      <c r="A112" s="159">
        <v>107</v>
      </c>
      <c r="B112" s="160">
        <v>44501</v>
      </c>
      <c r="C112" s="161">
        <v>121.5</v>
      </c>
      <c r="D112" s="161">
        <v>3.22</v>
      </c>
      <c r="E112" s="161">
        <f t="shared" si="1"/>
        <v>391.23</v>
      </c>
      <c r="F112" s="161">
        <f>(104.46+92.3)/2</f>
        <v>98.38</v>
      </c>
      <c r="G112" s="161">
        <v>143.69999999999999</v>
      </c>
      <c r="H112" s="161">
        <v>140.4</v>
      </c>
      <c r="I112" s="161">
        <v>127.7</v>
      </c>
      <c r="J112" s="159"/>
      <c r="L112" s="159">
        <f t="shared" si="2"/>
        <v>31</v>
      </c>
      <c r="M112" s="160">
        <v>44501</v>
      </c>
      <c r="N112" s="161">
        <v>391.23</v>
      </c>
      <c r="O112" s="161">
        <f>(104.46+92.3)/2</f>
        <v>98.38</v>
      </c>
      <c r="P112" s="161">
        <v>143.69999999999999</v>
      </c>
      <c r="Q112" s="161">
        <v>140.4</v>
      </c>
      <c r="R112" s="161">
        <v>127.7</v>
      </c>
      <c r="S112" s="159"/>
    </row>
    <row r="113" spans="1:19" x14ac:dyDescent="0.35">
      <c r="A113" s="159">
        <v>108</v>
      </c>
      <c r="B113" s="160">
        <v>44531</v>
      </c>
      <c r="C113" s="161">
        <v>120.9</v>
      </c>
      <c r="D113" s="161">
        <v>3.22</v>
      </c>
      <c r="E113" s="161">
        <f t="shared" si="1"/>
        <v>389.29800000000006</v>
      </c>
      <c r="F113" s="161">
        <v>92.3</v>
      </c>
      <c r="G113" s="161">
        <v>143.30000000000001</v>
      </c>
      <c r="H113" s="161">
        <v>139</v>
      </c>
      <c r="I113" s="161">
        <v>125.5</v>
      </c>
      <c r="J113" s="159"/>
      <c r="L113" s="159">
        <f t="shared" si="2"/>
        <v>32</v>
      </c>
      <c r="M113" s="160">
        <v>44531</v>
      </c>
      <c r="N113" s="161">
        <v>389.29800000000006</v>
      </c>
      <c r="O113" s="161">
        <v>92.3</v>
      </c>
      <c r="P113" s="161">
        <v>143.30000000000001</v>
      </c>
      <c r="Q113" s="161">
        <v>139</v>
      </c>
      <c r="R113" s="161">
        <v>125.5</v>
      </c>
      <c r="S113" s="159"/>
    </row>
    <row r="114" spans="1:19" x14ac:dyDescent="0.35">
      <c r="A114" s="159">
        <v>109</v>
      </c>
      <c r="B114" s="160">
        <v>44562</v>
      </c>
      <c r="C114" s="161">
        <v>120.8</v>
      </c>
      <c r="D114" s="161">
        <v>3.22</v>
      </c>
      <c r="E114" s="161">
        <f t="shared" si="1"/>
        <v>388.976</v>
      </c>
      <c r="F114" s="161">
        <v>92.3</v>
      </c>
      <c r="G114" s="161">
        <v>143.80000000000001</v>
      </c>
      <c r="H114" s="161">
        <v>139.9</v>
      </c>
      <c r="I114" s="161">
        <v>124.3</v>
      </c>
      <c r="J114" s="159"/>
      <c r="L114" s="159">
        <f t="shared" si="2"/>
        <v>33</v>
      </c>
      <c r="M114" s="160">
        <v>44562</v>
      </c>
      <c r="N114" s="161">
        <v>388.976</v>
      </c>
      <c r="O114" s="161">
        <v>92.3</v>
      </c>
      <c r="P114" s="161">
        <v>143.80000000000001</v>
      </c>
      <c r="Q114" s="161">
        <v>139.9</v>
      </c>
      <c r="R114" s="161">
        <v>124.3</v>
      </c>
      <c r="S114" s="159"/>
    </row>
    <row r="115" spans="1:19" x14ac:dyDescent="0.35">
      <c r="A115" s="159">
        <v>110</v>
      </c>
      <c r="B115" s="160">
        <v>44593</v>
      </c>
      <c r="C115" s="161">
        <v>121</v>
      </c>
      <c r="D115" s="161">
        <v>3.22</v>
      </c>
      <c r="E115" s="161">
        <f t="shared" si="1"/>
        <v>389.62</v>
      </c>
      <c r="F115" s="161">
        <f>(92.3+92.3)/2</f>
        <v>92.3</v>
      </c>
      <c r="G115" s="161">
        <v>145.30000000000001</v>
      </c>
      <c r="H115" s="161">
        <v>144.80000000000001</v>
      </c>
      <c r="I115" s="161">
        <v>127.9</v>
      </c>
      <c r="J115" s="159"/>
      <c r="L115" s="159">
        <f t="shared" si="2"/>
        <v>34</v>
      </c>
      <c r="M115" s="160">
        <v>44593</v>
      </c>
      <c r="N115" s="161">
        <v>389.62</v>
      </c>
      <c r="O115" s="161">
        <f>(92.3+92.3)/2</f>
        <v>92.3</v>
      </c>
      <c r="P115" s="161">
        <v>145.30000000000001</v>
      </c>
      <c r="Q115" s="161">
        <v>144.80000000000001</v>
      </c>
      <c r="R115" s="161">
        <v>127.9</v>
      </c>
      <c r="S115" s="159"/>
    </row>
    <row r="116" spans="1:19" x14ac:dyDescent="0.35">
      <c r="A116" s="159">
        <v>111</v>
      </c>
      <c r="B116" s="160">
        <v>44621</v>
      </c>
      <c r="C116" s="161">
        <v>121.5</v>
      </c>
      <c r="D116" s="161">
        <v>3.22</v>
      </c>
      <c r="E116" s="161">
        <f t="shared" si="1"/>
        <v>391.23</v>
      </c>
      <c r="F116" s="161">
        <f>(92.3+98.93)/2</f>
        <v>95.615000000000009</v>
      </c>
      <c r="G116" s="161">
        <v>148.9</v>
      </c>
      <c r="H116" s="161">
        <v>155.9</v>
      </c>
      <c r="I116" s="161">
        <v>130.1</v>
      </c>
      <c r="J116" s="172"/>
      <c r="L116" s="159">
        <f t="shared" si="2"/>
        <v>35</v>
      </c>
      <c r="M116" s="160">
        <v>44621</v>
      </c>
      <c r="N116" s="161">
        <v>391.23</v>
      </c>
      <c r="O116" s="161">
        <f>(92.3+98.93)/2</f>
        <v>95.615000000000009</v>
      </c>
      <c r="P116" s="161">
        <v>148.9</v>
      </c>
      <c r="Q116" s="161">
        <v>155.9</v>
      </c>
      <c r="R116" s="161">
        <v>130.1</v>
      </c>
      <c r="S116" s="172"/>
    </row>
    <row r="117" spans="1:19" x14ac:dyDescent="0.35">
      <c r="A117" s="159">
        <v>112</v>
      </c>
      <c r="B117" s="160">
        <v>44652</v>
      </c>
      <c r="C117" s="161">
        <v>122.4</v>
      </c>
      <c r="D117" s="161">
        <v>3.22</v>
      </c>
      <c r="E117" s="161">
        <f t="shared" si="1"/>
        <v>394.12800000000004</v>
      </c>
      <c r="F117" s="161">
        <f>(98.93+102.66)/2</f>
        <v>100.795</v>
      </c>
      <c r="G117" s="161">
        <v>152.30000000000001</v>
      </c>
      <c r="H117" s="161">
        <v>159.1</v>
      </c>
      <c r="I117" s="161">
        <v>133.5</v>
      </c>
      <c r="J117" s="172"/>
      <c r="L117" s="159">
        <f t="shared" si="2"/>
        <v>36</v>
      </c>
      <c r="M117" s="160">
        <v>44652</v>
      </c>
      <c r="N117" s="161">
        <v>394.12800000000004</v>
      </c>
      <c r="O117" s="161">
        <f>(98.93+102.66)/2</f>
        <v>100.795</v>
      </c>
      <c r="P117" s="161">
        <v>152.30000000000001</v>
      </c>
      <c r="Q117" s="161">
        <v>159.1</v>
      </c>
      <c r="R117" s="161">
        <v>133.5</v>
      </c>
      <c r="S117" s="172"/>
    </row>
    <row r="118" spans="1:19" x14ac:dyDescent="0.35">
      <c r="A118" s="159">
        <v>113</v>
      </c>
      <c r="B118" s="160">
        <v>44682</v>
      </c>
      <c r="C118" s="161">
        <v>123.2</v>
      </c>
      <c r="D118" s="161">
        <v>3.22</v>
      </c>
      <c r="E118" s="161">
        <f t="shared" si="1"/>
        <v>396.70400000000001</v>
      </c>
      <c r="F118" s="161">
        <f>(102.66+95.35)/2</f>
        <v>99.004999999999995</v>
      </c>
      <c r="G118" s="161">
        <v>155</v>
      </c>
      <c r="H118" s="161">
        <v>156.69999999999999</v>
      </c>
      <c r="I118" s="161">
        <v>135.1</v>
      </c>
      <c r="J118" s="172"/>
      <c r="L118" s="159">
        <f t="shared" si="2"/>
        <v>37</v>
      </c>
      <c r="M118" s="160">
        <v>44682</v>
      </c>
      <c r="N118" s="161">
        <v>396.70400000000001</v>
      </c>
      <c r="O118" s="161">
        <f>(102.66+95.35)/2</f>
        <v>99.004999999999995</v>
      </c>
      <c r="P118" s="161">
        <v>155</v>
      </c>
      <c r="Q118" s="161">
        <v>156.69999999999999</v>
      </c>
      <c r="R118" s="161">
        <v>135.1</v>
      </c>
      <c r="S118" s="172"/>
    </row>
    <row r="119" spans="1:19" x14ac:dyDescent="0.35">
      <c r="A119" s="159">
        <v>114</v>
      </c>
      <c r="B119" s="160">
        <v>44713</v>
      </c>
      <c r="C119" s="161">
        <v>123.3</v>
      </c>
      <c r="D119" s="161">
        <v>3.22</v>
      </c>
      <c r="E119" s="161">
        <f t="shared" si="1"/>
        <v>397.02600000000001</v>
      </c>
      <c r="F119" s="161">
        <f>(95.35+95.35)/2</f>
        <v>95.35</v>
      </c>
      <c r="G119" s="161">
        <v>155.4</v>
      </c>
      <c r="H119" s="161">
        <v>151.6</v>
      </c>
      <c r="I119" s="161">
        <v>138</v>
      </c>
      <c r="J119" s="172"/>
      <c r="L119" s="159">
        <f t="shared" si="2"/>
        <v>38</v>
      </c>
      <c r="M119" s="160">
        <v>44713</v>
      </c>
      <c r="N119" s="161">
        <v>397.02600000000001</v>
      </c>
      <c r="O119" s="161">
        <f>(95.35+95.35)/2</f>
        <v>95.35</v>
      </c>
      <c r="P119" s="161">
        <v>155.4</v>
      </c>
      <c r="Q119" s="161">
        <v>151.6</v>
      </c>
      <c r="R119" s="161">
        <v>138</v>
      </c>
      <c r="S119" s="172"/>
    </row>
    <row r="120" spans="1:19" x14ac:dyDescent="0.35">
      <c r="A120" s="159">
        <v>115</v>
      </c>
      <c r="B120" s="160">
        <v>44743</v>
      </c>
      <c r="C120" s="161">
        <v>123.2</v>
      </c>
      <c r="D120" s="161">
        <v>3.22</v>
      </c>
      <c r="E120" s="161">
        <f t="shared" si="1"/>
        <v>396.70400000000001</v>
      </c>
      <c r="F120" s="161">
        <f>(95.35+92.35)/2</f>
        <v>93.85</v>
      </c>
      <c r="G120" s="161">
        <v>154</v>
      </c>
      <c r="H120" s="161">
        <v>149.9</v>
      </c>
      <c r="I120" s="161">
        <v>135</v>
      </c>
      <c r="J120" s="172"/>
      <c r="L120" s="159">
        <f t="shared" si="2"/>
        <v>39</v>
      </c>
      <c r="M120" s="160">
        <v>44743</v>
      </c>
      <c r="N120" s="161">
        <v>396.70400000000001</v>
      </c>
      <c r="O120" s="161">
        <f>(95.35+92.35)/2</f>
        <v>93.85</v>
      </c>
      <c r="P120" s="161">
        <v>154</v>
      </c>
      <c r="Q120" s="161">
        <v>149.9</v>
      </c>
      <c r="R120" s="161">
        <v>135</v>
      </c>
      <c r="S120" s="172"/>
    </row>
    <row r="121" spans="1:19" x14ac:dyDescent="0.35">
      <c r="A121" s="159">
        <v>116</v>
      </c>
      <c r="B121" s="160">
        <v>44774</v>
      </c>
      <c r="C121" s="161">
        <v>123</v>
      </c>
      <c r="D121" s="161">
        <v>3.22</v>
      </c>
      <c r="E121" s="161">
        <f t="shared" si="1"/>
        <v>396.06</v>
      </c>
      <c r="F121" s="161">
        <v>92.35</v>
      </c>
      <c r="G121" s="161">
        <v>153.19999999999999</v>
      </c>
      <c r="H121" s="161">
        <v>149.4</v>
      </c>
      <c r="I121" s="161">
        <v>133.80000000000001</v>
      </c>
      <c r="J121" s="172"/>
      <c r="L121" s="159">
        <f t="shared" si="2"/>
        <v>40</v>
      </c>
      <c r="M121" s="160">
        <v>44774</v>
      </c>
      <c r="N121" s="161">
        <v>396.06</v>
      </c>
      <c r="O121" s="161">
        <v>92.35</v>
      </c>
      <c r="P121" s="161">
        <v>153.19999999999999</v>
      </c>
      <c r="Q121" s="161">
        <v>149.4</v>
      </c>
      <c r="R121" s="161">
        <v>133.80000000000001</v>
      </c>
      <c r="S121" s="172"/>
    </row>
    <row r="122" spans="1:19" x14ac:dyDescent="0.35">
      <c r="A122" s="159">
        <v>117</v>
      </c>
      <c r="B122" s="160">
        <v>44805</v>
      </c>
      <c r="C122" s="161">
        <v>122.8</v>
      </c>
      <c r="D122" s="161">
        <v>3.22</v>
      </c>
      <c r="E122" s="161">
        <f t="shared" si="1"/>
        <v>395.416</v>
      </c>
      <c r="F122" s="171">
        <v>92.35</v>
      </c>
      <c r="G122" s="171">
        <v>151.9</v>
      </c>
      <c r="H122" s="171">
        <v>146.80000000000001</v>
      </c>
      <c r="I122" s="171">
        <v>133.4</v>
      </c>
      <c r="J122" s="172"/>
      <c r="L122" s="159">
        <f t="shared" si="2"/>
        <v>41</v>
      </c>
      <c r="M122" s="160">
        <v>44805</v>
      </c>
      <c r="N122" s="161">
        <v>395.416</v>
      </c>
      <c r="O122" s="171">
        <v>92.35</v>
      </c>
      <c r="P122" s="171">
        <v>151.9</v>
      </c>
      <c r="Q122" s="171">
        <v>146.80000000000001</v>
      </c>
      <c r="R122" s="171">
        <v>133.4</v>
      </c>
      <c r="S122" s="172"/>
    </row>
    <row r="123" spans="1:19" x14ac:dyDescent="0.35">
      <c r="A123" s="159">
        <v>118</v>
      </c>
      <c r="B123" s="160">
        <v>44835</v>
      </c>
      <c r="C123" s="161">
        <v>124.2</v>
      </c>
      <c r="D123" s="161">
        <v>3.22</v>
      </c>
      <c r="E123" s="161">
        <f t="shared" si="1"/>
        <v>399.92400000000004</v>
      </c>
      <c r="F123" s="171">
        <v>92.35</v>
      </c>
      <c r="G123" s="171">
        <v>152.9</v>
      </c>
      <c r="H123" s="171">
        <v>147.9</v>
      </c>
      <c r="I123" s="171">
        <v>133.5</v>
      </c>
      <c r="J123" s="172"/>
      <c r="L123" s="159">
        <f t="shared" si="2"/>
        <v>42</v>
      </c>
      <c r="M123" s="160">
        <v>44835</v>
      </c>
      <c r="N123" s="161">
        <v>399.92400000000004</v>
      </c>
      <c r="O123" s="171">
        <v>92.35</v>
      </c>
      <c r="P123" s="171">
        <v>152.9</v>
      </c>
      <c r="Q123" s="171">
        <v>147.9</v>
      </c>
      <c r="R123" s="171">
        <v>133.5</v>
      </c>
      <c r="S123" s="172"/>
    </row>
    <row r="124" spans="1:19" x14ac:dyDescent="0.35">
      <c r="A124" s="159">
        <v>119</v>
      </c>
      <c r="B124" s="160">
        <v>44866</v>
      </c>
      <c r="C124" s="161">
        <v>122.3</v>
      </c>
      <c r="D124" s="161">
        <v>3.22</v>
      </c>
      <c r="E124" s="161">
        <f t="shared" si="1"/>
        <v>393.80600000000004</v>
      </c>
      <c r="F124" s="171">
        <v>92.35</v>
      </c>
      <c r="G124" s="171">
        <v>152.1</v>
      </c>
      <c r="H124" s="171">
        <v>145</v>
      </c>
      <c r="I124" s="171">
        <v>134.5</v>
      </c>
      <c r="J124" s="172"/>
      <c r="L124" s="159">
        <f t="shared" si="2"/>
        <v>43</v>
      </c>
      <c r="M124" s="160">
        <v>44866</v>
      </c>
      <c r="N124" s="161">
        <v>393.80600000000004</v>
      </c>
      <c r="O124" s="171">
        <v>92.35</v>
      </c>
      <c r="P124" s="171">
        <v>152.1</v>
      </c>
      <c r="Q124" s="171">
        <v>145</v>
      </c>
      <c r="R124" s="171">
        <v>134.5</v>
      </c>
      <c r="S124" s="172"/>
    </row>
    <row r="125" spans="1:19" x14ac:dyDescent="0.35">
      <c r="A125" s="159">
        <v>120</v>
      </c>
      <c r="B125" s="160">
        <v>44896</v>
      </c>
      <c r="C125" s="161">
        <v>122.4</v>
      </c>
      <c r="D125" s="161">
        <v>3.22</v>
      </c>
      <c r="E125" s="161">
        <f t="shared" si="1"/>
        <v>394.12800000000004</v>
      </c>
      <c r="F125" s="169">
        <v>92.35</v>
      </c>
      <c r="G125" s="171">
        <v>150.4</v>
      </c>
      <c r="H125" s="171">
        <v>145.69999999999999</v>
      </c>
      <c r="I125" s="171">
        <v>135</v>
      </c>
      <c r="J125" s="172"/>
      <c r="L125" s="159">
        <f t="shared" si="2"/>
        <v>44</v>
      </c>
      <c r="M125" s="160">
        <v>44896</v>
      </c>
      <c r="N125" s="161">
        <v>394.12800000000004</v>
      </c>
      <c r="O125" s="169">
        <v>92.35</v>
      </c>
      <c r="P125" s="171">
        <v>150.4</v>
      </c>
      <c r="Q125" s="171">
        <v>145.69999999999999</v>
      </c>
      <c r="R125" s="171">
        <v>135</v>
      </c>
      <c r="S125" s="172"/>
    </row>
    <row r="126" spans="1:19" x14ac:dyDescent="0.35">
      <c r="A126" s="159">
        <v>121</v>
      </c>
      <c r="B126" s="160">
        <v>44927</v>
      </c>
      <c r="C126" s="161">
        <v>123.4</v>
      </c>
      <c r="D126" s="161">
        <v>3.22</v>
      </c>
      <c r="E126" s="161">
        <f t="shared" si="1"/>
        <v>397.34800000000007</v>
      </c>
      <c r="F126" s="169">
        <v>92.35</v>
      </c>
      <c r="G126" s="171">
        <v>150.69999999999999</v>
      </c>
      <c r="H126" s="171">
        <v>148.30000000000001</v>
      </c>
      <c r="I126" s="171">
        <v>136.6</v>
      </c>
      <c r="J126" s="172"/>
      <c r="L126" s="159">
        <f t="shared" si="2"/>
        <v>45</v>
      </c>
      <c r="M126" s="160">
        <v>44927</v>
      </c>
      <c r="N126" s="161">
        <v>397.34800000000007</v>
      </c>
      <c r="O126" s="169">
        <v>92.35</v>
      </c>
      <c r="P126" s="171">
        <v>150.69999999999999</v>
      </c>
      <c r="Q126" s="171">
        <v>148.30000000000001</v>
      </c>
      <c r="R126" s="171">
        <v>136.6</v>
      </c>
      <c r="S126" s="172"/>
    </row>
    <row r="127" spans="1:19" x14ac:dyDescent="0.35">
      <c r="A127" s="159">
        <v>122</v>
      </c>
      <c r="B127" s="160">
        <v>44958</v>
      </c>
      <c r="C127" s="161">
        <v>123.4</v>
      </c>
      <c r="D127" s="161">
        <v>3.22</v>
      </c>
      <c r="E127" s="161">
        <f t="shared" si="1"/>
        <v>397.34800000000007</v>
      </c>
      <c r="F127" s="169">
        <v>92.35</v>
      </c>
      <c r="G127" s="169">
        <v>150.9</v>
      </c>
      <c r="H127" s="169">
        <v>148.4</v>
      </c>
      <c r="I127" s="169">
        <v>136.5</v>
      </c>
      <c r="J127" s="172"/>
      <c r="L127" s="159">
        <f t="shared" si="2"/>
        <v>46</v>
      </c>
      <c r="M127" s="160">
        <v>44958</v>
      </c>
      <c r="N127" s="161">
        <v>397.34800000000007</v>
      </c>
      <c r="O127" s="169">
        <v>92.35</v>
      </c>
      <c r="P127" s="169">
        <v>150.9</v>
      </c>
      <c r="Q127" s="169">
        <v>148.4</v>
      </c>
      <c r="R127" s="169">
        <v>136.5</v>
      </c>
      <c r="S127" s="172"/>
    </row>
    <row r="128" spans="1:19" x14ac:dyDescent="0.35">
      <c r="A128" s="159">
        <v>123</v>
      </c>
      <c r="B128" s="160">
        <v>44986</v>
      </c>
      <c r="C128" s="161">
        <v>124.3</v>
      </c>
      <c r="D128" s="161">
        <v>3.22</v>
      </c>
      <c r="E128" s="161">
        <f t="shared" si="1"/>
        <v>400.24600000000004</v>
      </c>
      <c r="F128" s="169">
        <v>92.35</v>
      </c>
      <c r="G128" s="169">
        <v>151</v>
      </c>
      <c r="H128" s="169">
        <v>147.6</v>
      </c>
      <c r="I128" s="169">
        <v>136.80000000000001</v>
      </c>
      <c r="J128" s="172"/>
      <c r="L128" s="159">
        <f t="shared" si="2"/>
        <v>47</v>
      </c>
      <c r="M128" s="160">
        <v>44986</v>
      </c>
      <c r="N128" s="161">
        <v>400.24600000000004</v>
      </c>
      <c r="O128" s="169">
        <v>92.35</v>
      </c>
      <c r="P128" s="169">
        <v>151</v>
      </c>
      <c r="Q128" s="169">
        <v>147.6</v>
      </c>
      <c r="R128" s="169">
        <v>136.80000000000001</v>
      </c>
      <c r="S128" s="172"/>
    </row>
    <row r="129" spans="1:19" x14ac:dyDescent="0.35">
      <c r="A129" s="159">
        <v>124</v>
      </c>
      <c r="B129" s="160">
        <v>45017</v>
      </c>
      <c r="C129" s="161">
        <v>124.3</v>
      </c>
      <c r="D129" s="161">
        <v>3.22</v>
      </c>
      <c r="E129" s="161">
        <f t="shared" si="1"/>
        <v>400.24600000000004</v>
      </c>
      <c r="F129" s="169">
        <v>92.35</v>
      </c>
      <c r="G129" s="169">
        <v>151.1</v>
      </c>
      <c r="H129" s="169">
        <v>145.69999999999999</v>
      </c>
      <c r="I129" s="169">
        <v>136</v>
      </c>
      <c r="J129" s="172"/>
      <c r="L129" s="159">
        <f t="shared" si="2"/>
        <v>48</v>
      </c>
      <c r="M129" s="160">
        <v>45017</v>
      </c>
      <c r="N129" s="161">
        <v>400.24600000000004</v>
      </c>
      <c r="O129" s="169">
        <v>92.35</v>
      </c>
      <c r="P129" s="169">
        <v>151.1</v>
      </c>
      <c r="Q129" s="169">
        <v>145.69999999999999</v>
      </c>
      <c r="R129" s="169">
        <v>136</v>
      </c>
      <c r="S129" s="172"/>
    </row>
    <row r="130" spans="1:19" x14ac:dyDescent="0.35">
      <c r="A130" s="159">
        <v>125</v>
      </c>
      <c r="B130" s="160">
        <v>45047</v>
      </c>
      <c r="C130" s="161">
        <v>125</v>
      </c>
      <c r="D130" s="161">
        <v>3.22</v>
      </c>
      <c r="E130" s="161">
        <f t="shared" si="1"/>
        <v>402.5</v>
      </c>
      <c r="F130" s="169">
        <v>92.35</v>
      </c>
      <c r="G130" s="169">
        <v>149.4</v>
      </c>
      <c r="H130" s="169">
        <v>144.4</v>
      </c>
      <c r="I130" s="169">
        <v>134.69999999999999</v>
      </c>
      <c r="J130" s="172"/>
      <c r="L130" s="159">
        <f t="shared" si="2"/>
        <v>49</v>
      </c>
      <c r="M130" s="160">
        <v>45047</v>
      </c>
      <c r="N130" s="161">
        <v>402.5</v>
      </c>
      <c r="O130" s="169">
        <v>92.35</v>
      </c>
      <c r="P130" s="169">
        <v>149.4</v>
      </c>
      <c r="Q130" s="169">
        <v>144.4</v>
      </c>
      <c r="R130" s="169">
        <v>134.69999999999999</v>
      </c>
      <c r="S130" s="172"/>
    </row>
    <row r="131" spans="1:19" x14ac:dyDescent="0.35">
      <c r="A131" s="159">
        <v>126</v>
      </c>
      <c r="B131" s="160">
        <v>45078</v>
      </c>
      <c r="C131" s="161">
        <v>126.3</v>
      </c>
      <c r="D131" s="161">
        <v>3.22</v>
      </c>
      <c r="E131" s="161">
        <f t="shared" si="1"/>
        <v>406.68600000000004</v>
      </c>
      <c r="F131" s="169">
        <v>92.35</v>
      </c>
      <c r="G131" s="169">
        <v>148.9</v>
      </c>
      <c r="H131" s="169">
        <v>141.69999999999999</v>
      </c>
      <c r="I131" s="169">
        <v>135</v>
      </c>
      <c r="J131" s="172"/>
      <c r="L131" s="159">
        <f t="shared" si="2"/>
        <v>50</v>
      </c>
      <c r="M131" s="160">
        <v>45078</v>
      </c>
      <c r="N131" s="161">
        <v>406.68600000000004</v>
      </c>
      <c r="O131" s="169">
        <v>92.35</v>
      </c>
      <c r="P131" s="169">
        <v>148.9</v>
      </c>
      <c r="Q131" s="169">
        <v>141.69999999999999</v>
      </c>
      <c r="R131" s="169">
        <v>135</v>
      </c>
      <c r="S131" s="172"/>
    </row>
    <row r="132" spans="1:19" x14ac:dyDescent="0.35">
      <c r="A132" s="159">
        <v>127</v>
      </c>
      <c r="B132" s="160">
        <v>45108</v>
      </c>
      <c r="C132" s="161">
        <v>127.4</v>
      </c>
      <c r="D132" s="161">
        <v>3.22</v>
      </c>
      <c r="E132" s="161">
        <f t="shared" si="1"/>
        <v>410.22800000000007</v>
      </c>
      <c r="F132" s="169">
        <v>92.35</v>
      </c>
      <c r="G132" s="169">
        <v>152.1</v>
      </c>
      <c r="H132" s="169">
        <v>139.5</v>
      </c>
      <c r="I132" s="169">
        <v>135.6</v>
      </c>
      <c r="J132" s="172"/>
      <c r="L132" s="159">
        <f t="shared" si="2"/>
        <v>51</v>
      </c>
      <c r="M132" s="160">
        <v>45108</v>
      </c>
      <c r="N132" s="161">
        <v>410.22800000000007</v>
      </c>
      <c r="O132" s="169">
        <v>92.35</v>
      </c>
      <c r="P132" s="169">
        <v>152.1</v>
      </c>
      <c r="Q132" s="169">
        <v>139.5</v>
      </c>
      <c r="R132" s="169">
        <v>135.6</v>
      </c>
      <c r="S132" s="172"/>
    </row>
    <row r="133" spans="1:19" x14ac:dyDescent="0.35">
      <c r="A133" s="159">
        <v>128</v>
      </c>
      <c r="B133" s="160">
        <v>45139</v>
      </c>
      <c r="C133" s="161">
        <v>127.1</v>
      </c>
      <c r="D133" s="161">
        <v>3.22</v>
      </c>
      <c r="E133" s="161">
        <f t="shared" si="1"/>
        <v>409.262</v>
      </c>
      <c r="F133" s="169">
        <v>92.35</v>
      </c>
      <c r="G133" s="169">
        <v>152.5</v>
      </c>
      <c r="H133" s="169">
        <v>140.80000000000001</v>
      </c>
      <c r="I133" s="169">
        <v>136.19999999999999</v>
      </c>
      <c r="J133" s="172"/>
      <c r="L133" s="159">
        <f t="shared" si="2"/>
        <v>52</v>
      </c>
      <c r="M133" s="160">
        <v>45139</v>
      </c>
      <c r="N133" s="161">
        <v>409.262</v>
      </c>
      <c r="O133" s="169">
        <v>92.35</v>
      </c>
      <c r="P133" s="169">
        <v>152.5</v>
      </c>
      <c r="Q133" s="169">
        <v>140.80000000000001</v>
      </c>
      <c r="R133" s="169">
        <v>136.19999999999999</v>
      </c>
      <c r="S133" s="172"/>
    </row>
    <row r="134" spans="1:19" x14ac:dyDescent="0.35">
      <c r="A134" s="159">
        <v>129</v>
      </c>
      <c r="B134" s="160">
        <v>45170</v>
      </c>
      <c r="C134" s="161">
        <v>125</v>
      </c>
      <c r="D134" s="161">
        <v>3.22</v>
      </c>
      <c r="E134" s="161">
        <f t="shared" si="1"/>
        <v>402.5</v>
      </c>
      <c r="F134" s="169">
        <v>92.35</v>
      </c>
      <c r="G134" s="169">
        <v>151.80000000000001</v>
      </c>
      <c r="H134" s="169">
        <v>143.80000000000001</v>
      </c>
      <c r="I134" s="169">
        <v>134.9</v>
      </c>
      <c r="J134" s="172"/>
      <c r="L134" s="159">
        <f t="shared" si="2"/>
        <v>53</v>
      </c>
      <c r="M134" s="160">
        <v>45170</v>
      </c>
      <c r="N134" s="161">
        <v>402.5</v>
      </c>
      <c r="O134" s="169">
        <v>92.35</v>
      </c>
      <c r="P134" s="169">
        <v>151.80000000000001</v>
      </c>
      <c r="Q134" s="169">
        <v>143.80000000000001</v>
      </c>
      <c r="R134" s="169">
        <v>134.9</v>
      </c>
      <c r="S134" s="172"/>
    </row>
    <row r="135" spans="1:19" x14ac:dyDescent="0.35">
      <c r="A135" s="159">
        <v>130</v>
      </c>
      <c r="B135" s="160">
        <v>45200</v>
      </c>
      <c r="C135" s="161">
        <v>128.1</v>
      </c>
      <c r="D135" s="161">
        <v>3.22</v>
      </c>
      <c r="E135" s="161">
        <f t="shared" ref="E135:E158" si="3">C135*D135</f>
        <v>412.48200000000003</v>
      </c>
      <c r="F135" s="169">
        <v>92.35</v>
      </c>
      <c r="G135" s="169">
        <v>152.5</v>
      </c>
      <c r="H135" s="169">
        <v>143.1</v>
      </c>
      <c r="I135" s="169">
        <v>136.69999999999999</v>
      </c>
      <c r="J135" s="172"/>
      <c r="L135" s="159">
        <f t="shared" si="2"/>
        <v>54</v>
      </c>
      <c r="M135" s="160">
        <v>45200</v>
      </c>
      <c r="N135" s="161">
        <v>412.48200000000003</v>
      </c>
      <c r="O135" s="169">
        <v>92.35</v>
      </c>
      <c r="P135" s="169">
        <v>152.5</v>
      </c>
      <c r="Q135" s="169">
        <v>143.1</v>
      </c>
      <c r="R135" s="169">
        <v>136.69999999999999</v>
      </c>
      <c r="S135" s="172"/>
    </row>
    <row r="136" spans="1:19" x14ac:dyDescent="0.35">
      <c r="A136" s="159">
        <v>131</v>
      </c>
      <c r="B136" s="160">
        <v>45231</v>
      </c>
      <c r="C136" s="161">
        <v>127.3</v>
      </c>
      <c r="D136" s="161">
        <v>3.22</v>
      </c>
      <c r="E136" s="161">
        <f t="shared" si="3"/>
        <v>409.90600000000001</v>
      </c>
      <c r="F136" s="169">
        <v>92.35</v>
      </c>
      <c r="G136" s="169">
        <v>153.1</v>
      </c>
      <c r="H136" s="169">
        <v>143.19999999999999</v>
      </c>
      <c r="I136" s="169">
        <v>135.30000000000001</v>
      </c>
      <c r="J136" s="172"/>
      <c r="L136" s="159">
        <f t="shared" si="2"/>
        <v>55</v>
      </c>
      <c r="M136" s="160">
        <v>45231</v>
      </c>
      <c r="N136" s="161">
        <v>409.90600000000001</v>
      </c>
      <c r="O136" s="169">
        <v>92.35</v>
      </c>
      <c r="P136" s="169">
        <v>153.1</v>
      </c>
      <c r="Q136" s="169">
        <v>143.19999999999999</v>
      </c>
      <c r="R136" s="169">
        <v>135.30000000000001</v>
      </c>
      <c r="S136" s="172"/>
    </row>
    <row r="137" spans="1:19" x14ac:dyDescent="0.35">
      <c r="A137" s="159">
        <v>132</v>
      </c>
      <c r="B137" s="160">
        <v>45261</v>
      </c>
      <c r="C137" s="161">
        <v>127.1</v>
      </c>
      <c r="D137" s="161">
        <v>3.22</v>
      </c>
      <c r="E137" s="161">
        <f t="shared" si="3"/>
        <v>409.262</v>
      </c>
      <c r="F137" s="169">
        <v>92.35</v>
      </c>
      <c r="G137" s="169">
        <v>151.80000000000001</v>
      </c>
      <c r="H137" s="169">
        <v>139.69999999999999</v>
      </c>
      <c r="I137" s="169">
        <v>135.9</v>
      </c>
      <c r="J137" s="172"/>
      <c r="L137" s="159">
        <f t="shared" si="2"/>
        <v>56</v>
      </c>
      <c r="M137" s="160">
        <v>45261</v>
      </c>
      <c r="N137" s="161">
        <v>409.262</v>
      </c>
      <c r="O137" s="169">
        <v>92.35</v>
      </c>
      <c r="P137" s="169">
        <v>151.80000000000001</v>
      </c>
      <c r="Q137" s="169">
        <v>139.69999999999999</v>
      </c>
      <c r="R137" s="169">
        <v>135.9</v>
      </c>
      <c r="S137" s="172"/>
    </row>
    <row r="138" spans="1:19" x14ac:dyDescent="0.35">
      <c r="A138" s="159">
        <v>133</v>
      </c>
      <c r="B138" s="160">
        <v>45292</v>
      </c>
      <c r="C138" s="161">
        <v>127.6</v>
      </c>
      <c r="D138" s="161">
        <v>3.22</v>
      </c>
      <c r="E138" s="161">
        <f t="shared" si="3"/>
        <v>410.87200000000001</v>
      </c>
      <c r="F138" s="169">
        <v>92.35</v>
      </c>
      <c r="G138" s="169">
        <v>151.19999999999999</v>
      </c>
      <c r="H138" s="169">
        <v>138.30000000000001</v>
      </c>
      <c r="I138" s="169">
        <v>135.5</v>
      </c>
      <c r="J138" s="172"/>
      <c r="L138" s="159">
        <f t="shared" si="2"/>
        <v>57</v>
      </c>
      <c r="M138" s="160">
        <v>45292</v>
      </c>
      <c r="N138" s="161">
        <v>410.87200000000001</v>
      </c>
      <c r="O138" s="169">
        <v>92.35</v>
      </c>
      <c r="P138" s="169">
        <v>151.19999999999999</v>
      </c>
      <c r="Q138" s="169">
        <v>138.30000000000001</v>
      </c>
      <c r="R138" s="169">
        <v>135.5</v>
      </c>
      <c r="S138" s="172"/>
    </row>
    <row r="139" spans="1:19" x14ac:dyDescent="0.35">
      <c r="A139" s="159">
        <v>134</v>
      </c>
      <c r="B139" s="160">
        <v>45323</v>
      </c>
      <c r="C139" s="161">
        <v>129.6</v>
      </c>
      <c r="D139" s="161">
        <v>3.22</v>
      </c>
      <c r="E139" s="161">
        <f t="shared" si="3"/>
        <v>417.31200000000001</v>
      </c>
      <c r="F139" s="169">
        <v>92.35</v>
      </c>
      <c r="G139" s="169">
        <v>151.19999999999999</v>
      </c>
      <c r="H139" s="169">
        <v>138.30000000000001</v>
      </c>
      <c r="I139" s="169">
        <v>134.1</v>
      </c>
      <c r="J139" s="172"/>
      <c r="L139" s="159">
        <f t="shared" si="2"/>
        <v>58</v>
      </c>
      <c r="M139" s="160">
        <v>45323</v>
      </c>
      <c r="N139" s="161">
        <v>417.31200000000001</v>
      </c>
      <c r="O139" s="169">
        <v>92.35</v>
      </c>
      <c r="P139" s="169">
        <v>151.19999999999999</v>
      </c>
      <c r="Q139" s="169">
        <v>138.30000000000001</v>
      </c>
      <c r="R139" s="169">
        <v>134.1</v>
      </c>
      <c r="S139" s="172"/>
    </row>
    <row r="140" spans="1:19" x14ac:dyDescent="0.35">
      <c r="A140" s="159">
        <v>135</v>
      </c>
      <c r="B140" s="160">
        <v>45352</v>
      </c>
      <c r="C140" s="161">
        <v>128.1</v>
      </c>
      <c r="D140" s="161">
        <v>3.22</v>
      </c>
      <c r="E140" s="161">
        <f t="shared" si="3"/>
        <v>412.48200000000003</v>
      </c>
      <c r="F140" s="169">
        <f>(92.35+90.28)/2</f>
        <v>91.314999999999998</v>
      </c>
      <c r="G140" s="169">
        <v>151.4</v>
      </c>
      <c r="H140" s="169">
        <v>138.9</v>
      </c>
      <c r="I140" s="169">
        <v>132</v>
      </c>
      <c r="J140" s="172"/>
      <c r="L140" s="159">
        <f t="shared" si="2"/>
        <v>59</v>
      </c>
      <c r="M140" s="160">
        <v>45352</v>
      </c>
      <c r="N140" s="161">
        <v>412.48200000000003</v>
      </c>
      <c r="O140" s="169">
        <f>(92.35+90.28)/2</f>
        <v>91.314999999999998</v>
      </c>
      <c r="P140" s="169">
        <v>151.4</v>
      </c>
      <c r="Q140" s="169">
        <v>138.9</v>
      </c>
      <c r="R140" s="169">
        <v>132</v>
      </c>
      <c r="S140" s="172"/>
    </row>
    <row r="141" spans="1:19" x14ac:dyDescent="0.35">
      <c r="A141" s="159">
        <v>136</v>
      </c>
      <c r="B141" s="160">
        <v>45383</v>
      </c>
      <c r="C141" s="161">
        <v>127.8</v>
      </c>
      <c r="D141" s="161">
        <v>3.22</v>
      </c>
      <c r="E141" s="161">
        <f t="shared" si="3"/>
        <v>411.51600000000002</v>
      </c>
      <c r="F141" s="169">
        <v>90.28</v>
      </c>
      <c r="G141" s="169">
        <v>152.9</v>
      </c>
      <c r="H141" s="169">
        <v>142.30000000000001</v>
      </c>
      <c r="I141" s="169">
        <v>131.1</v>
      </c>
      <c r="J141" s="172"/>
      <c r="L141" s="159">
        <f t="shared" si="2"/>
        <v>60</v>
      </c>
      <c r="M141" s="160">
        <v>45383</v>
      </c>
      <c r="N141" s="161">
        <v>411.51600000000002</v>
      </c>
      <c r="O141" s="169">
        <v>90.28</v>
      </c>
      <c r="P141" s="169">
        <v>152.9</v>
      </c>
      <c r="Q141" s="169">
        <v>142.30000000000001</v>
      </c>
      <c r="R141" s="169">
        <v>131.1</v>
      </c>
      <c r="S141" s="172"/>
    </row>
    <row r="142" spans="1:19" x14ac:dyDescent="0.35">
      <c r="A142" s="159">
        <v>137</v>
      </c>
      <c r="B142" s="160">
        <v>45413</v>
      </c>
      <c r="C142" s="161">
        <v>129.19999999999999</v>
      </c>
      <c r="D142" s="161">
        <v>3.22</v>
      </c>
      <c r="E142" s="161">
        <f t="shared" si="3"/>
        <v>416.024</v>
      </c>
      <c r="F142" s="169">
        <v>90.28</v>
      </c>
      <c r="G142" s="169">
        <v>153.5</v>
      </c>
      <c r="H142" s="169">
        <v>144.5</v>
      </c>
      <c r="I142" s="169">
        <v>129.30000000000001</v>
      </c>
      <c r="J142" s="172"/>
      <c r="L142" s="159">
        <f t="shared" si="2"/>
        <v>61</v>
      </c>
      <c r="M142" s="160">
        <v>45413</v>
      </c>
      <c r="N142" s="161">
        <v>416.024</v>
      </c>
      <c r="O142" s="169">
        <v>90.28</v>
      </c>
      <c r="P142" s="169">
        <v>153.5</v>
      </c>
      <c r="Q142" s="169">
        <v>144.5</v>
      </c>
      <c r="R142" s="169">
        <v>129.30000000000001</v>
      </c>
      <c r="S142" s="172"/>
    </row>
    <row r="143" spans="1:19" x14ac:dyDescent="0.35">
      <c r="A143" s="159">
        <v>138</v>
      </c>
      <c r="B143" s="160">
        <v>45444</v>
      </c>
      <c r="C143" s="161">
        <v>129.4</v>
      </c>
      <c r="D143" s="161">
        <v>3.22</v>
      </c>
      <c r="E143" s="161">
        <f t="shared" si="3"/>
        <v>416.66800000000006</v>
      </c>
      <c r="F143" s="169">
        <v>90.28</v>
      </c>
      <c r="G143" s="169">
        <v>154</v>
      </c>
      <c r="H143" s="169">
        <v>143.6</v>
      </c>
      <c r="I143" s="169">
        <v>126.8</v>
      </c>
      <c r="J143" s="172"/>
      <c r="L143" s="159">
        <f t="shared" si="2"/>
        <v>62</v>
      </c>
      <c r="M143" s="160">
        <v>45444</v>
      </c>
      <c r="N143" s="161">
        <v>416.66800000000006</v>
      </c>
      <c r="O143" s="169">
        <v>90.28</v>
      </c>
      <c r="P143" s="169">
        <v>154</v>
      </c>
      <c r="Q143" s="169">
        <v>143.6</v>
      </c>
      <c r="R143" s="169">
        <v>126.8</v>
      </c>
      <c r="S143" s="172"/>
    </row>
    <row r="144" spans="1:19" x14ac:dyDescent="0.35">
      <c r="A144" s="159">
        <v>139</v>
      </c>
      <c r="B144" s="160">
        <v>45474</v>
      </c>
      <c r="C144" s="161">
        <v>130.80000000000001</v>
      </c>
      <c r="D144" s="161">
        <v>3.22</v>
      </c>
      <c r="E144" s="161">
        <f t="shared" si="3"/>
        <v>421.17600000000004</v>
      </c>
      <c r="F144" s="169">
        <v>90.28</v>
      </c>
      <c r="G144" s="169">
        <v>155.30000000000001</v>
      </c>
      <c r="H144" s="169">
        <v>139.69999999999999</v>
      </c>
      <c r="I144" s="169">
        <v>124</v>
      </c>
      <c r="J144" s="172"/>
      <c r="L144" s="159">
        <f t="shared" si="2"/>
        <v>63</v>
      </c>
      <c r="M144" s="160">
        <v>45474</v>
      </c>
      <c r="N144" s="161">
        <v>421.17600000000004</v>
      </c>
      <c r="O144" s="169">
        <v>90.28</v>
      </c>
      <c r="P144" s="169">
        <v>155.30000000000001</v>
      </c>
      <c r="Q144" s="169">
        <v>139.69999999999999</v>
      </c>
      <c r="R144" s="169">
        <v>124</v>
      </c>
      <c r="S144" s="172"/>
    </row>
    <row r="145" spans="1:19" x14ac:dyDescent="0.35">
      <c r="A145" s="159">
        <v>140</v>
      </c>
      <c r="B145" s="160">
        <v>45505</v>
      </c>
      <c r="C145" s="161">
        <v>131.1</v>
      </c>
      <c r="D145" s="161">
        <v>3.22</v>
      </c>
      <c r="E145" s="161">
        <f t="shared" si="3"/>
        <v>422.142</v>
      </c>
      <c r="F145" s="169">
        <v>90.28</v>
      </c>
      <c r="G145" s="169">
        <v>154.4</v>
      </c>
      <c r="H145" s="169">
        <v>138.6</v>
      </c>
      <c r="I145" s="169">
        <v>122.6</v>
      </c>
      <c r="J145" s="172"/>
      <c r="L145" s="159">
        <f t="shared" si="2"/>
        <v>64</v>
      </c>
      <c r="M145" s="160">
        <v>45505</v>
      </c>
      <c r="N145" s="161">
        <v>422.142</v>
      </c>
      <c r="O145" s="169">
        <v>90.28</v>
      </c>
      <c r="P145" s="169">
        <v>154.4</v>
      </c>
      <c r="Q145" s="169">
        <v>138.6</v>
      </c>
      <c r="R145" s="169">
        <v>122.6</v>
      </c>
      <c r="S145" s="172"/>
    </row>
    <row r="146" spans="1:19" x14ac:dyDescent="0.35">
      <c r="A146" s="159">
        <v>141</v>
      </c>
      <c r="B146" s="160">
        <v>45536</v>
      </c>
      <c r="C146" s="161">
        <v>131.1</v>
      </c>
      <c r="D146" s="161">
        <v>3.22</v>
      </c>
      <c r="E146" s="161">
        <f t="shared" si="3"/>
        <v>422.142</v>
      </c>
      <c r="F146" s="169">
        <v>90.28</v>
      </c>
      <c r="G146" s="169">
        <v>154.69999999999999</v>
      </c>
      <c r="H146" s="169">
        <v>138.9</v>
      </c>
      <c r="I146" s="169">
        <v>125</v>
      </c>
      <c r="J146" s="172"/>
      <c r="L146" s="159">
        <f t="shared" si="2"/>
        <v>65</v>
      </c>
      <c r="M146" s="160">
        <v>45536</v>
      </c>
      <c r="N146" s="161">
        <v>422.142</v>
      </c>
      <c r="O146" s="169">
        <v>90.28</v>
      </c>
      <c r="P146" s="169">
        <v>154.69999999999999</v>
      </c>
      <c r="Q146" s="169">
        <v>138.9</v>
      </c>
      <c r="R146" s="169">
        <v>125</v>
      </c>
      <c r="S146" s="172"/>
    </row>
    <row r="147" spans="1:19" x14ac:dyDescent="0.35">
      <c r="A147" s="159">
        <v>142</v>
      </c>
      <c r="B147" s="160">
        <v>45566</v>
      </c>
      <c r="C147" s="161">
        <v>131.69999999999999</v>
      </c>
      <c r="D147" s="161">
        <v>3.22</v>
      </c>
      <c r="E147" s="161">
        <f t="shared" si="3"/>
        <v>424.07400000000001</v>
      </c>
      <c r="F147" s="169">
        <v>90.28</v>
      </c>
      <c r="G147" s="169">
        <v>156.69999999999999</v>
      </c>
      <c r="H147" s="169">
        <v>140</v>
      </c>
      <c r="I147" s="169">
        <v>124.6</v>
      </c>
      <c r="J147" s="172"/>
      <c r="L147" s="159">
        <f t="shared" si="2"/>
        <v>66</v>
      </c>
      <c r="M147" s="160">
        <v>45566</v>
      </c>
      <c r="N147" s="161">
        <v>424.07400000000001</v>
      </c>
      <c r="O147" s="169">
        <v>90.28</v>
      </c>
      <c r="P147" s="169">
        <v>156.69999999999999</v>
      </c>
      <c r="Q147" s="169">
        <v>140</v>
      </c>
      <c r="R147" s="169">
        <v>124.6</v>
      </c>
      <c r="S147" s="172"/>
    </row>
    <row r="148" spans="1:19" x14ac:dyDescent="0.35">
      <c r="A148" s="159">
        <v>143</v>
      </c>
      <c r="B148" s="160">
        <v>45597</v>
      </c>
      <c r="C148" s="161">
        <v>132.5</v>
      </c>
      <c r="D148" s="161">
        <v>3.22</v>
      </c>
      <c r="E148" s="161">
        <f t="shared" si="3"/>
        <v>426.65000000000003</v>
      </c>
      <c r="F148" s="169">
        <v>90.28</v>
      </c>
      <c r="G148" s="169">
        <v>156.4</v>
      </c>
      <c r="H148" s="169">
        <v>140.19999999999999</v>
      </c>
      <c r="I148" s="169">
        <v>125.3</v>
      </c>
      <c r="J148" s="172"/>
      <c r="L148" s="159">
        <f t="shared" ref="L148:L158" si="4">+L147+1</f>
        <v>67</v>
      </c>
      <c r="M148" s="160">
        <v>45597</v>
      </c>
      <c r="N148" s="161">
        <v>426.65000000000003</v>
      </c>
      <c r="O148" s="169">
        <v>90.28</v>
      </c>
      <c r="P148" s="169">
        <v>156.4</v>
      </c>
      <c r="Q148" s="169">
        <v>140.19999999999999</v>
      </c>
      <c r="R148" s="169">
        <v>125.3</v>
      </c>
      <c r="S148" s="172"/>
    </row>
    <row r="149" spans="1:19" x14ac:dyDescent="0.35">
      <c r="A149" s="159">
        <v>144</v>
      </c>
      <c r="B149" s="160">
        <v>45627</v>
      </c>
      <c r="C149" s="161">
        <v>132.80000000000001</v>
      </c>
      <c r="D149" s="161">
        <v>3.22</v>
      </c>
      <c r="E149" s="161">
        <f t="shared" si="3"/>
        <v>427.61600000000004</v>
      </c>
      <c r="F149" s="169">
        <f>(90.28+90.34)/2</f>
        <v>90.31</v>
      </c>
      <c r="G149" s="169">
        <v>155.69999999999999</v>
      </c>
      <c r="H149" s="169">
        <v>139.5</v>
      </c>
      <c r="I149" s="169">
        <v>127.9</v>
      </c>
      <c r="J149" s="172"/>
      <c r="L149" s="159">
        <f t="shared" si="4"/>
        <v>68</v>
      </c>
      <c r="M149" s="160">
        <v>45627</v>
      </c>
      <c r="N149" s="161">
        <v>427.61600000000004</v>
      </c>
      <c r="O149" s="169">
        <f>(90.28+90.34)/2</f>
        <v>90.31</v>
      </c>
      <c r="P149" s="169">
        <v>155.69999999999999</v>
      </c>
      <c r="Q149" s="169">
        <v>139.5</v>
      </c>
      <c r="R149" s="169">
        <v>127.9</v>
      </c>
      <c r="S149" s="172"/>
    </row>
    <row r="150" spans="1:19" x14ac:dyDescent="0.35">
      <c r="A150" s="159">
        <v>145</v>
      </c>
      <c r="B150" s="160">
        <v>45658</v>
      </c>
      <c r="C150" s="161">
        <v>133.9</v>
      </c>
      <c r="D150" s="161">
        <v>3.22</v>
      </c>
      <c r="E150" s="161">
        <f t="shared" si="3"/>
        <v>431.15800000000007</v>
      </c>
      <c r="F150" s="169">
        <v>90.34</v>
      </c>
      <c r="G150" s="169">
        <v>155</v>
      </c>
      <c r="H150" s="169">
        <v>138.5</v>
      </c>
      <c r="I150" s="169">
        <v>128.19999999999999</v>
      </c>
      <c r="J150" s="172"/>
      <c r="L150" s="159">
        <f t="shared" si="4"/>
        <v>69</v>
      </c>
      <c r="M150" s="160">
        <v>45658</v>
      </c>
      <c r="N150" s="161">
        <v>431.15800000000007</v>
      </c>
      <c r="O150" s="169">
        <v>90.34</v>
      </c>
      <c r="P150" s="169">
        <v>155</v>
      </c>
      <c r="Q150" s="169">
        <v>138.5</v>
      </c>
      <c r="R150" s="169">
        <v>128.19999999999999</v>
      </c>
      <c r="S150" s="172"/>
    </row>
    <row r="151" spans="1:19" x14ac:dyDescent="0.35">
      <c r="A151" s="159">
        <v>146</v>
      </c>
      <c r="B151" s="160">
        <v>45689</v>
      </c>
      <c r="C151" s="161">
        <v>134</v>
      </c>
      <c r="D151" s="161">
        <v>3.22</v>
      </c>
      <c r="E151" s="161">
        <f t="shared" si="3"/>
        <v>431.48</v>
      </c>
      <c r="F151" s="169">
        <v>90.34</v>
      </c>
      <c r="G151" s="169">
        <v>154.9</v>
      </c>
      <c r="H151" s="169">
        <v>138.69999999999999</v>
      </c>
      <c r="I151" s="169">
        <v>128.9</v>
      </c>
      <c r="J151" s="172"/>
      <c r="L151" s="159">
        <f t="shared" si="4"/>
        <v>70</v>
      </c>
      <c r="M151" s="160">
        <v>45689</v>
      </c>
      <c r="N151" s="161">
        <v>431.48</v>
      </c>
      <c r="O151" s="169">
        <v>90.34</v>
      </c>
      <c r="P151" s="169">
        <v>154.9</v>
      </c>
      <c r="Q151" s="169">
        <v>138.69999999999999</v>
      </c>
      <c r="R151" s="169">
        <v>128.9</v>
      </c>
      <c r="S151" s="172"/>
    </row>
    <row r="152" spans="1:19" x14ac:dyDescent="0.35">
      <c r="A152" s="159">
        <v>147</v>
      </c>
      <c r="B152" s="160">
        <v>45717</v>
      </c>
      <c r="C152" s="161">
        <v>133.9</v>
      </c>
      <c r="D152" s="161">
        <v>3.22</v>
      </c>
      <c r="E152" s="161">
        <f t="shared" si="3"/>
        <v>431.15800000000007</v>
      </c>
      <c r="F152" s="169">
        <v>90.34</v>
      </c>
      <c r="G152" s="169">
        <v>154.80000000000001</v>
      </c>
      <c r="H152" s="169">
        <v>140</v>
      </c>
      <c r="I152" s="169">
        <v>129.30000000000001</v>
      </c>
      <c r="J152" s="172"/>
      <c r="L152" s="159">
        <f t="shared" si="4"/>
        <v>71</v>
      </c>
      <c r="M152" s="160">
        <v>45717</v>
      </c>
      <c r="N152" s="161">
        <v>431.15800000000007</v>
      </c>
      <c r="O152" s="169">
        <v>90.34</v>
      </c>
      <c r="P152" s="169">
        <v>154.80000000000001</v>
      </c>
      <c r="Q152" s="169">
        <v>140</v>
      </c>
      <c r="R152" s="169">
        <v>129.30000000000001</v>
      </c>
      <c r="S152" s="172"/>
    </row>
    <row r="153" spans="1:19" x14ac:dyDescent="0.35">
      <c r="A153" s="159">
        <v>148</v>
      </c>
      <c r="B153" s="160">
        <v>45748</v>
      </c>
      <c r="C153" s="161">
        <v>134</v>
      </c>
      <c r="D153" s="161">
        <v>3.22</v>
      </c>
      <c r="E153" s="161">
        <f t="shared" si="3"/>
        <v>431.48</v>
      </c>
      <c r="F153" s="169">
        <v>90.34</v>
      </c>
      <c r="G153" s="169">
        <v>154.19999999999999</v>
      </c>
      <c r="H153" s="169">
        <v>140.80000000000001</v>
      </c>
      <c r="I153" s="169">
        <v>127.6</v>
      </c>
      <c r="J153" s="172"/>
      <c r="L153" s="159">
        <f t="shared" si="4"/>
        <v>72</v>
      </c>
      <c r="M153" s="160">
        <v>45748</v>
      </c>
      <c r="N153" s="161">
        <v>431.48</v>
      </c>
      <c r="O153" s="169">
        <v>90.34</v>
      </c>
      <c r="P153" s="169">
        <v>154.19999999999999</v>
      </c>
      <c r="Q153" s="169">
        <v>140.80000000000001</v>
      </c>
      <c r="R153" s="169">
        <v>127.6</v>
      </c>
      <c r="S153" s="172"/>
    </row>
    <row r="154" spans="1:19" x14ac:dyDescent="0.35">
      <c r="A154" s="159">
        <v>149</v>
      </c>
      <c r="B154" s="160">
        <v>45778</v>
      </c>
      <c r="C154" s="161">
        <v>135.30000000000001</v>
      </c>
      <c r="D154" s="161">
        <v>3.22</v>
      </c>
      <c r="E154" s="161">
        <f t="shared" si="3"/>
        <v>435.66600000000005</v>
      </c>
      <c r="F154" s="169">
        <v>90.34</v>
      </c>
      <c r="G154" s="169">
        <v>153.69999999999999</v>
      </c>
      <c r="H154" s="169">
        <v>138.69999999999999</v>
      </c>
      <c r="I154" s="169">
        <v>131</v>
      </c>
      <c r="J154" s="172"/>
      <c r="L154" s="159">
        <f t="shared" si="4"/>
        <v>73</v>
      </c>
      <c r="M154" s="160">
        <v>45778</v>
      </c>
      <c r="N154" s="161">
        <v>435.66600000000005</v>
      </c>
      <c r="O154" s="169">
        <v>90.34</v>
      </c>
      <c r="P154" s="169">
        <v>153.69999999999999</v>
      </c>
      <c r="Q154" s="169">
        <v>138.69999999999999</v>
      </c>
      <c r="R154" s="169">
        <v>131</v>
      </c>
      <c r="S154" s="172"/>
    </row>
    <row r="155" spans="1:19" x14ac:dyDescent="0.35">
      <c r="A155" s="159">
        <v>150</v>
      </c>
      <c r="B155" s="160">
        <v>45809</v>
      </c>
      <c r="C155" s="161">
        <v>135.4</v>
      </c>
      <c r="D155" s="161">
        <v>3.22</v>
      </c>
      <c r="E155" s="161">
        <f t="shared" si="3"/>
        <v>435.98800000000006</v>
      </c>
      <c r="F155" s="169">
        <v>90.34</v>
      </c>
      <c r="G155" s="169">
        <v>153.69999999999999</v>
      </c>
      <c r="H155" s="169">
        <v>137.19999999999999</v>
      </c>
      <c r="I155" s="169">
        <v>131.30000000000001</v>
      </c>
      <c r="J155" s="172"/>
      <c r="L155" s="159">
        <f t="shared" si="4"/>
        <v>74</v>
      </c>
      <c r="M155" s="160">
        <v>45809</v>
      </c>
      <c r="N155" s="161">
        <v>435.98800000000006</v>
      </c>
      <c r="O155" s="169">
        <v>90.34</v>
      </c>
      <c r="P155" s="169">
        <v>153.69999999999999</v>
      </c>
      <c r="Q155" s="169">
        <v>137.19999999999999</v>
      </c>
      <c r="R155" s="169">
        <v>131.30000000000001</v>
      </c>
      <c r="S155" s="172"/>
    </row>
    <row r="156" spans="1:19" x14ac:dyDescent="0.35">
      <c r="A156" s="159">
        <v>151</v>
      </c>
      <c r="B156" s="160">
        <v>45839</v>
      </c>
      <c r="C156" s="161">
        <v>137.19999999999999</v>
      </c>
      <c r="D156" s="161">
        <v>3.22</v>
      </c>
      <c r="E156" s="161">
        <f t="shared" si="3"/>
        <v>441.78399999999999</v>
      </c>
      <c r="F156" s="169">
        <v>90.34</v>
      </c>
      <c r="G156" s="169">
        <v>154.4</v>
      </c>
      <c r="H156" s="169">
        <v>135.4</v>
      </c>
      <c r="I156" s="169">
        <v>131.4</v>
      </c>
      <c r="J156" s="172"/>
      <c r="L156" s="159">
        <f t="shared" si="4"/>
        <v>75</v>
      </c>
      <c r="M156" s="160">
        <v>45839</v>
      </c>
      <c r="N156" s="161">
        <v>441.78399999999999</v>
      </c>
      <c r="O156" s="169">
        <v>90.34</v>
      </c>
      <c r="P156" s="169">
        <v>154.4</v>
      </c>
      <c r="Q156" s="169">
        <v>135.4</v>
      </c>
      <c r="R156" s="169">
        <v>131.4</v>
      </c>
      <c r="S156" s="172"/>
    </row>
    <row r="157" spans="1:19" x14ac:dyDescent="0.35">
      <c r="A157" s="159">
        <v>152</v>
      </c>
      <c r="B157" s="160">
        <v>45870</v>
      </c>
      <c r="C157" s="161">
        <v>138.1</v>
      </c>
      <c r="D157" s="161">
        <v>3.22</v>
      </c>
      <c r="E157" s="161">
        <f t="shared" si="3"/>
        <v>444.68200000000002</v>
      </c>
      <c r="F157" s="169">
        <v>90.34</v>
      </c>
      <c r="G157" s="169">
        <v>155.19999999999999</v>
      </c>
      <c r="H157" s="169">
        <v>135.80000000000001</v>
      </c>
      <c r="I157" s="169">
        <v>131</v>
      </c>
      <c r="J157" s="172"/>
      <c r="L157" s="159">
        <f t="shared" si="4"/>
        <v>76</v>
      </c>
      <c r="M157" s="160">
        <v>45870</v>
      </c>
      <c r="N157" s="161">
        <v>444.68200000000002</v>
      </c>
      <c r="O157" s="169">
        <v>90.34</v>
      </c>
      <c r="P157" s="169">
        <v>155.19999999999999</v>
      </c>
      <c r="Q157" s="169">
        <v>135.80000000000001</v>
      </c>
      <c r="R157" s="169">
        <v>131</v>
      </c>
      <c r="S157" s="172"/>
    </row>
    <row r="158" spans="1:19" x14ac:dyDescent="0.35">
      <c r="A158" s="159">
        <v>153</v>
      </c>
      <c r="B158" s="160">
        <v>45901</v>
      </c>
      <c r="C158" s="161">
        <v>138.1</v>
      </c>
      <c r="D158" s="161">
        <v>3.22</v>
      </c>
      <c r="E158" s="161">
        <f t="shared" si="3"/>
        <v>444.68200000000002</v>
      </c>
      <c r="F158" s="169">
        <v>90.34</v>
      </c>
      <c r="G158" s="169">
        <v>155.19999999999999</v>
      </c>
      <c r="H158" s="169">
        <v>135.80000000000001</v>
      </c>
      <c r="I158" s="169">
        <v>131</v>
      </c>
      <c r="J158" s="172"/>
      <c r="L158" s="159">
        <f t="shared" si="4"/>
        <v>77</v>
      </c>
      <c r="M158" s="160">
        <v>45901</v>
      </c>
      <c r="N158" s="161">
        <v>444.68200000000002</v>
      </c>
      <c r="O158" s="169">
        <v>90.34</v>
      </c>
      <c r="P158" s="169">
        <v>155.19999999999999</v>
      </c>
      <c r="Q158" s="169">
        <v>135.80000000000001</v>
      </c>
      <c r="R158" s="169">
        <v>131</v>
      </c>
      <c r="S158" s="172"/>
    </row>
    <row r="159" spans="1:19" x14ac:dyDescent="0.35">
      <c r="A159" s="159"/>
      <c r="B159" s="160"/>
      <c r="C159" s="169"/>
      <c r="D159" s="169"/>
      <c r="E159" s="169"/>
      <c r="F159" s="172"/>
      <c r="G159" s="169"/>
      <c r="H159" s="169"/>
      <c r="I159" s="169"/>
      <c r="J159" s="172"/>
      <c r="L159" s="159"/>
      <c r="M159" s="160"/>
      <c r="N159" s="169"/>
      <c r="O159" s="172"/>
      <c r="P159" s="169"/>
      <c r="Q159" s="169"/>
      <c r="R159" s="169"/>
      <c r="S159" s="172"/>
    </row>
  </sheetData>
  <mergeCells count="8">
    <mergeCell ref="L1:S1"/>
    <mergeCell ref="L2:L3"/>
    <mergeCell ref="M2:M3"/>
    <mergeCell ref="N2:S2"/>
    <mergeCell ref="A2:A3"/>
    <mergeCell ref="B2:B3"/>
    <mergeCell ref="C2:J2"/>
    <mergeCell ref="C3:E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8" fitToHeight="0" orientation="portrait" r:id="rId1"/>
  <headerFooter>
    <oddFooter>Page &amp;P of &amp;N</oddFooter>
  </headerFooter>
  <rowBreaks count="1" manualBreakCount="1">
    <brk id="159" max="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pageSetUpPr fitToPage="1"/>
  </sheetPr>
  <dimension ref="A1:Q82"/>
  <sheetViews>
    <sheetView view="pageBreakPreview" zoomScaleNormal="100" zoomScaleSheetLayoutView="100" workbookViewId="0">
      <pane ySplit="3" topLeftCell="A40" activePane="bottomLeft" state="frozen"/>
      <selection pane="bottomLeft" activeCell="N47" sqref="N47"/>
    </sheetView>
  </sheetViews>
  <sheetFormatPr defaultColWidth="8" defaultRowHeight="14.5" x14ac:dyDescent="0.35"/>
  <cols>
    <col min="1" max="1" width="9.58203125" style="170" customWidth="1"/>
    <col min="2" max="2" width="9" style="170" customWidth="1"/>
    <col min="3" max="3" width="9.58203125" style="178" customWidth="1"/>
    <col min="4" max="4" width="9.25" style="178" customWidth="1"/>
    <col min="5" max="5" width="10.25" style="178" customWidth="1"/>
    <col min="6" max="7" width="9.58203125" style="178" customWidth="1"/>
    <col min="8" max="8" width="10.83203125" style="178" customWidth="1"/>
    <col min="9" max="16384" width="8" style="170"/>
  </cols>
  <sheetData>
    <row r="1" spans="1:17" s="152" customFormat="1" ht="23.25" customHeight="1" x14ac:dyDescent="0.35">
      <c r="A1" s="230" t="s">
        <v>182</v>
      </c>
      <c r="B1" s="230"/>
      <c r="C1" s="230"/>
      <c r="D1" s="230"/>
      <c r="E1" s="230"/>
      <c r="F1" s="230"/>
      <c r="G1" s="230"/>
      <c r="H1" s="230"/>
      <c r="J1" s="230" t="s">
        <v>182</v>
      </c>
      <c r="K1" s="230"/>
      <c r="L1" s="230"/>
      <c r="M1" s="230"/>
      <c r="N1" s="230"/>
      <c r="O1" s="230"/>
      <c r="P1" s="230"/>
      <c r="Q1" s="230"/>
    </row>
    <row r="2" spans="1:17" s="152" customFormat="1" ht="15.75" customHeight="1" x14ac:dyDescent="0.35">
      <c r="A2" s="230" t="s">
        <v>71</v>
      </c>
      <c r="B2" s="230" t="s">
        <v>4</v>
      </c>
      <c r="C2" s="230" t="s">
        <v>125</v>
      </c>
      <c r="D2" s="230"/>
      <c r="E2" s="230"/>
      <c r="F2" s="230"/>
      <c r="G2" s="230"/>
      <c r="H2" s="230"/>
      <c r="J2" s="230" t="s">
        <v>71</v>
      </c>
      <c r="K2" s="230" t="s">
        <v>4</v>
      </c>
      <c r="L2" s="230" t="s">
        <v>125</v>
      </c>
      <c r="M2" s="230"/>
      <c r="N2" s="230"/>
      <c r="O2" s="230"/>
      <c r="P2" s="230"/>
      <c r="Q2" s="230"/>
    </row>
    <row r="3" spans="1:17" s="156" customFormat="1" ht="33.75" customHeight="1" x14ac:dyDescent="0.35">
      <c r="A3" s="230"/>
      <c r="B3" s="230"/>
      <c r="C3" s="153" t="s">
        <v>167</v>
      </c>
      <c r="D3" s="154" t="s">
        <v>168</v>
      </c>
      <c r="E3" s="154" t="s">
        <v>169</v>
      </c>
      <c r="F3" s="154" t="s">
        <v>170</v>
      </c>
      <c r="G3" s="154" t="s">
        <v>171</v>
      </c>
      <c r="H3" s="155" t="s">
        <v>172</v>
      </c>
      <c r="J3" s="230"/>
      <c r="K3" s="230"/>
      <c r="L3" s="153" t="s">
        <v>167</v>
      </c>
      <c r="M3" s="154" t="s">
        <v>168</v>
      </c>
      <c r="N3" s="154" t="s">
        <v>169</v>
      </c>
      <c r="O3" s="154" t="s">
        <v>170</v>
      </c>
      <c r="P3" s="154" t="s">
        <v>171</v>
      </c>
      <c r="Q3" s="155" t="s">
        <v>172</v>
      </c>
    </row>
    <row r="4" spans="1:17" s="158" customFormat="1" hidden="1" x14ac:dyDescent="0.35">
      <c r="A4" s="157"/>
      <c r="B4" s="157">
        <v>1</v>
      </c>
      <c r="C4" s="157">
        <v>2</v>
      </c>
      <c r="D4" s="157">
        <v>3</v>
      </c>
      <c r="E4" s="157">
        <v>4</v>
      </c>
      <c r="F4" s="157">
        <v>5</v>
      </c>
      <c r="G4" s="157">
        <v>6</v>
      </c>
      <c r="H4" s="157">
        <v>7</v>
      </c>
      <c r="J4" s="157"/>
      <c r="K4" s="157">
        <v>1</v>
      </c>
      <c r="L4" s="157">
        <v>2</v>
      </c>
      <c r="M4" s="157">
        <v>3</v>
      </c>
      <c r="N4" s="157">
        <v>4</v>
      </c>
      <c r="O4" s="157">
        <v>5</v>
      </c>
      <c r="P4" s="157">
        <v>6</v>
      </c>
      <c r="Q4" s="157">
        <v>7</v>
      </c>
    </row>
    <row r="5" spans="1:17" s="152" customFormat="1" x14ac:dyDescent="0.35">
      <c r="A5" s="159">
        <v>1</v>
      </c>
      <c r="B5" s="160">
        <v>43586</v>
      </c>
      <c r="C5" s="161">
        <v>314</v>
      </c>
      <c r="D5" s="161">
        <f>(68.6+68.44)/2</f>
        <v>68.52</v>
      </c>
      <c r="E5" s="161">
        <v>121.6</v>
      </c>
      <c r="F5" s="161">
        <v>109.4</v>
      </c>
      <c r="G5" s="161">
        <v>123.2</v>
      </c>
      <c r="H5" s="159"/>
      <c r="J5" s="159">
        <v>1</v>
      </c>
      <c r="K5" s="160">
        <v>43586</v>
      </c>
      <c r="L5" s="161">
        <v>314</v>
      </c>
      <c r="M5" s="161">
        <f>(68.6+68.44)/2</f>
        <v>68.52</v>
      </c>
      <c r="N5" s="161">
        <v>121.6</v>
      </c>
      <c r="O5" s="161">
        <v>109.4</v>
      </c>
      <c r="P5" s="161">
        <v>123.2</v>
      </c>
      <c r="Q5" s="159"/>
    </row>
    <row r="6" spans="1:17" s="152" customFormat="1" x14ac:dyDescent="0.35">
      <c r="A6" s="159">
        <f>+A5+1</f>
        <v>2</v>
      </c>
      <c r="B6" s="160">
        <v>43617</v>
      </c>
      <c r="C6" s="161">
        <v>316</v>
      </c>
      <c r="D6" s="161">
        <f>(68.28+66.03)/2</f>
        <v>67.155000000000001</v>
      </c>
      <c r="E6" s="161">
        <v>121.5</v>
      </c>
      <c r="F6" s="161">
        <v>108.4</v>
      </c>
      <c r="G6" s="161">
        <v>122.5</v>
      </c>
      <c r="H6" s="159"/>
      <c r="J6" s="159">
        <f>+J5+1</f>
        <v>2</v>
      </c>
      <c r="K6" s="160">
        <v>43617</v>
      </c>
      <c r="L6" s="161">
        <v>316</v>
      </c>
      <c r="M6" s="161">
        <f>(68.28+66.03)/2</f>
        <v>67.155000000000001</v>
      </c>
      <c r="N6" s="161">
        <v>121.5</v>
      </c>
      <c r="O6" s="161">
        <v>108.4</v>
      </c>
      <c r="P6" s="161">
        <v>122.5</v>
      </c>
      <c r="Q6" s="159"/>
    </row>
    <row r="7" spans="1:17" s="152" customFormat="1" x14ac:dyDescent="0.35">
      <c r="A7" s="159">
        <f t="shared" ref="A7:A70" si="0">+A6+1</f>
        <v>3</v>
      </c>
      <c r="B7" s="160">
        <v>43647</v>
      </c>
      <c r="C7" s="161">
        <v>319</v>
      </c>
      <c r="D7" s="161">
        <f>(66.14+67.93)/2</f>
        <v>67.034999999999997</v>
      </c>
      <c r="E7" s="161">
        <v>121.3</v>
      </c>
      <c r="F7" s="161">
        <v>106.1</v>
      </c>
      <c r="G7" s="161">
        <v>120.6</v>
      </c>
      <c r="H7" s="159"/>
      <c r="J7" s="159">
        <f t="shared" ref="J7:J70" si="1">+J6+1</f>
        <v>3</v>
      </c>
      <c r="K7" s="160">
        <v>43647</v>
      </c>
      <c r="L7" s="161">
        <v>319</v>
      </c>
      <c r="M7" s="161">
        <f>(66.14+67.93)/2</f>
        <v>67.034999999999997</v>
      </c>
      <c r="N7" s="161">
        <v>121.3</v>
      </c>
      <c r="O7" s="161">
        <v>106.1</v>
      </c>
      <c r="P7" s="161">
        <v>120.6</v>
      </c>
      <c r="Q7" s="159"/>
    </row>
    <row r="8" spans="1:17" s="152" customFormat="1" x14ac:dyDescent="0.35">
      <c r="A8" s="159">
        <f t="shared" si="0"/>
        <v>4</v>
      </c>
      <c r="B8" s="160">
        <v>43678</v>
      </c>
      <c r="C8" s="161">
        <v>320</v>
      </c>
      <c r="D8" s="161">
        <f>(67.87+67.11)/2</f>
        <v>67.490000000000009</v>
      </c>
      <c r="E8" s="161">
        <v>121.5</v>
      </c>
      <c r="F8" s="161">
        <v>104.2</v>
      </c>
      <c r="G8" s="161">
        <v>118.5</v>
      </c>
      <c r="H8" s="159"/>
      <c r="J8" s="159">
        <f t="shared" si="1"/>
        <v>4</v>
      </c>
      <c r="K8" s="160">
        <v>43678</v>
      </c>
      <c r="L8" s="161">
        <v>320</v>
      </c>
      <c r="M8" s="161">
        <f>(67.87+67.11)/2</f>
        <v>67.490000000000009</v>
      </c>
      <c r="N8" s="161">
        <v>121.5</v>
      </c>
      <c r="O8" s="161">
        <v>104.2</v>
      </c>
      <c r="P8" s="161">
        <v>118.5</v>
      </c>
      <c r="Q8" s="159"/>
    </row>
    <row r="9" spans="1:17" s="152" customFormat="1" x14ac:dyDescent="0.35">
      <c r="A9" s="159">
        <f t="shared" si="0"/>
        <v>5</v>
      </c>
      <c r="B9" s="160">
        <v>43709</v>
      </c>
      <c r="C9" s="161">
        <v>322</v>
      </c>
      <c r="D9" s="161">
        <f>(67.08+69.29)/2</f>
        <v>68.185000000000002</v>
      </c>
      <c r="E9" s="161">
        <v>121.3</v>
      </c>
      <c r="F9" s="161">
        <v>103.4</v>
      </c>
      <c r="G9" s="161">
        <v>120.7</v>
      </c>
      <c r="H9" s="159"/>
      <c r="J9" s="159">
        <f t="shared" si="1"/>
        <v>5</v>
      </c>
      <c r="K9" s="160">
        <v>43709</v>
      </c>
      <c r="L9" s="161">
        <v>322</v>
      </c>
      <c r="M9" s="161">
        <f>(67.08+69.29)/2</f>
        <v>68.185000000000002</v>
      </c>
      <c r="N9" s="161">
        <v>121.3</v>
      </c>
      <c r="O9" s="161">
        <v>103.4</v>
      </c>
      <c r="P9" s="161">
        <v>120.7</v>
      </c>
      <c r="Q9" s="159"/>
    </row>
    <row r="10" spans="1:17" s="152" customFormat="1" x14ac:dyDescent="0.35">
      <c r="A10" s="159">
        <f t="shared" si="0"/>
        <v>6</v>
      </c>
      <c r="B10" s="160">
        <v>43739</v>
      </c>
      <c r="C10" s="161">
        <v>325</v>
      </c>
      <c r="D10" s="161">
        <f>(69.48+67.78)/2</f>
        <v>68.63</v>
      </c>
      <c r="E10" s="161">
        <v>122</v>
      </c>
      <c r="F10" s="161">
        <v>102.6</v>
      </c>
      <c r="G10" s="161">
        <v>118.6</v>
      </c>
      <c r="H10" s="159"/>
      <c r="J10" s="159">
        <f t="shared" si="1"/>
        <v>6</v>
      </c>
      <c r="K10" s="160">
        <v>43739</v>
      </c>
      <c r="L10" s="161">
        <v>325</v>
      </c>
      <c r="M10" s="161">
        <f>(69.48+67.78)/2</f>
        <v>68.63</v>
      </c>
      <c r="N10" s="161">
        <v>122</v>
      </c>
      <c r="O10" s="161">
        <v>102.6</v>
      </c>
      <c r="P10" s="161">
        <v>118.6</v>
      </c>
      <c r="Q10" s="159"/>
    </row>
    <row r="11" spans="1:17" s="152" customFormat="1" x14ac:dyDescent="0.35">
      <c r="A11" s="159">
        <f t="shared" si="0"/>
        <v>7</v>
      </c>
      <c r="B11" s="160">
        <v>43770</v>
      </c>
      <c r="C11" s="161">
        <v>328</v>
      </c>
      <c r="D11" s="161">
        <f>(67.67+67.65)/2</f>
        <v>67.66</v>
      </c>
      <c r="E11" s="161">
        <v>122.3</v>
      </c>
      <c r="F11" s="161">
        <v>101.9</v>
      </c>
      <c r="G11" s="161">
        <v>119.6</v>
      </c>
      <c r="H11" s="159"/>
      <c r="J11" s="159">
        <f t="shared" si="1"/>
        <v>7</v>
      </c>
      <c r="K11" s="160">
        <v>43770</v>
      </c>
      <c r="L11" s="161">
        <v>328</v>
      </c>
      <c r="M11" s="161">
        <f>(67.67+67.65)/2</f>
        <v>67.66</v>
      </c>
      <c r="N11" s="161">
        <v>122.3</v>
      </c>
      <c r="O11" s="161">
        <v>101.9</v>
      </c>
      <c r="P11" s="161">
        <v>119.6</v>
      </c>
      <c r="Q11" s="159"/>
    </row>
    <row r="12" spans="1:17" s="152" customFormat="1" x14ac:dyDescent="0.35">
      <c r="A12" s="159">
        <f t="shared" si="0"/>
        <v>8</v>
      </c>
      <c r="B12" s="160">
        <v>43800</v>
      </c>
      <c r="C12" s="161">
        <v>330</v>
      </c>
      <c r="D12" s="161">
        <f>(67.74+69.95)/2</f>
        <v>68.844999999999999</v>
      </c>
      <c r="E12" s="161">
        <v>122.8</v>
      </c>
      <c r="F12" s="161">
        <v>103.1</v>
      </c>
      <c r="G12" s="161">
        <v>119.2</v>
      </c>
      <c r="H12" s="159"/>
      <c r="J12" s="159">
        <f t="shared" si="1"/>
        <v>8</v>
      </c>
      <c r="K12" s="160">
        <v>43800</v>
      </c>
      <c r="L12" s="161">
        <v>330</v>
      </c>
      <c r="M12" s="161">
        <f>(67.74+69.95)/2</f>
        <v>68.844999999999999</v>
      </c>
      <c r="N12" s="161">
        <v>122.8</v>
      </c>
      <c r="O12" s="161">
        <v>103.1</v>
      </c>
      <c r="P12" s="161">
        <v>119.2</v>
      </c>
      <c r="Q12" s="159"/>
    </row>
    <row r="13" spans="1:17" s="152" customFormat="1" x14ac:dyDescent="0.35">
      <c r="A13" s="159">
        <f t="shared" si="0"/>
        <v>9</v>
      </c>
      <c r="B13" s="160">
        <v>43831</v>
      </c>
      <c r="C13" s="161">
        <v>330</v>
      </c>
      <c r="D13" s="161">
        <f>(70.11+68.23)/2</f>
        <v>69.17</v>
      </c>
      <c r="E13" s="161">
        <v>123.4</v>
      </c>
      <c r="F13" s="161">
        <v>104.9</v>
      </c>
      <c r="G13" s="161">
        <v>118</v>
      </c>
      <c r="H13" s="159"/>
      <c r="J13" s="159">
        <f t="shared" si="1"/>
        <v>9</v>
      </c>
      <c r="K13" s="160">
        <v>43831</v>
      </c>
      <c r="L13" s="161">
        <v>330</v>
      </c>
      <c r="M13" s="161">
        <f>(70.11+68.23)/2</f>
        <v>69.17</v>
      </c>
      <c r="N13" s="161">
        <v>123.4</v>
      </c>
      <c r="O13" s="161">
        <v>104.9</v>
      </c>
      <c r="P13" s="161">
        <v>118</v>
      </c>
      <c r="Q13" s="159"/>
    </row>
    <row r="14" spans="1:17" s="152" customFormat="1" x14ac:dyDescent="0.35">
      <c r="A14" s="159">
        <f t="shared" si="0"/>
        <v>10</v>
      </c>
      <c r="B14" s="160">
        <v>43862</v>
      </c>
      <c r="C14" s="161">
        <v>328</v>
      </c>
      <c r="D14" s="161">
        <f>(68.11+66.29)/2</f>
        <v>67.2</v>
      </c>
      <c r="E14" s="161">
        <v>122.2</v>
      </c>
      <c r="F14" s="161">
        <v>105.6</v>
      </c>
      <c r="G14" s="161">
        <v>119.8</v>
      </c>
      <c r="H14" s="159"/>
      <c r="J14" s="159">
        <f t="shared" si="1"/>
        <v>10</v>
      </c>
      <c r="K14" s="160">
        <v>43862</v>
      </c>
      <c r="L14" s="161">
        <v>328</v>
      </c>
      <c r="M14" s="161">
        <f>(68.11+66.29)/2</f>
        <v>67.2</v>
      </c>
      <c r="N14" s="161">
        <v>122.2</v>
      </c>
      <c r="O14" s="161">
        <v>105.6</v>
      </c>
      <c r="P14" s="161">
        <v>119.8</v>
      </c>
      <c r="Q14" s="159"/>
    </row>
    <row r="15" spans="1:17" x14ac:dyDescent="0.35">
      <c r="A15" s="159">
        <f t="shared" si="0"/>
        <v>11</v>
      </c>
      <c r="B15" s="160">
        <v>43891</v>
      </c>
      <c r="C15" s="161">
        <v>326</v>
      </c>
      <c r="D15" s="161">
        <f>(66.06+63.98)/2</f>
        <v>65.02</v>
      </c>
      <c r="E15" s="161">
        <v>120.4</v>
      </c>
      <c r="F15" s="161">
        <v>106.6</v>
      </c>
      <c r="G15" s="161">
        <v>119.7</v>
      </c>
      <c r="H15" s="159"/>
      <c r="J15" s="159">
        <f t="shared" si="1"/>
        <v>11</v>
      </c>
      <c r="K15" s="160">
        <v>43891</v>
      </c>
      <c r="L15" s="161">
        <v>326</v>
      </c>
      <c r="M15" s="161">
        <f>(66.06+63.98)/2</f>
        <v>65.02</v>
      </c>
      <c r="N15" s="161">
        <v>120.4</v>
      </c>
      <c r="O15" s="161">
        <v>106.6</v>
      </c>
      <c r="P15" s="161">
        <v>119.7</v>
      </c>
      <c r="Q15" s="159"/>
    </row>
    <row r="16" spans="1:17" x14ac:dyDescent="0.35">
      <c r="A16" s="159">
        <f t="shared" si="0"/>
        <v>12</v>
      </c>
      <c r="B16" s="160">
        <v>43922</v>
      </c>
      <c r="C16" s="161">
        <v>329</v>
      </c>
      <c r="D16" s="161">
        <v>64.98</v>
      </c>
      <c r="E16" s="161">
        <v>119.2</v>
      </c>
      <c r="F16" s="161">
        <v>106.2</v>
      </c>
      <c r="G16" s="161">
        <v>123.3</v>
      </c>
      <c r="H16" s="159"/>
      <c r="J16" s="159">
        <f t="shared" si="1"/>
        <v>12</v>
      </c>
      <c r="K16" s="160">
        <v>43922</v>
      </c>
      <c r="L16" s="161">
        <v>329</v>
      </c>
      <c r="M16" s="161">
        <v>64.98</v>
      </c>
      <c r="N16" s="161">
        <v>119.2</v>
      </c>
      <c r="O16" s="161">
        <v>106.2</v>
      </c>
      <c r="P16" s="161">
        <v>123.3</v>
      </c>
      <c r="Q16" s="159"/>
    </row>
    <row r="17" spans="1:17" x14ac:dyDescent="0.35">
      <c r="A17" s="159">
        <f t="shared" si="0"/>
        <v>13</v>
      </c>
      <c r="B17" s="160">
        <v>43952</v>
      </c>
      <c r="C17" s="161">
        <v>330</v>
      </c>
      <c r="D17" s="161">
        <v>64.98</v>
      </c>
      <c r="E17" s="161">
        <v>117.5</v>
      </c>
      <c r="F17" s="161">
        <v>105.6</v>
      </c>
      <c r="G17" s="161">
        <v>124.6</v>
      </c>
      <c r="H17" s="159"/>
      <c r="J17" s="159">
        <f t="shared" si="1"/>
        <v>13</v>
      </c>
      <c r="K17" s="160">
        <v>43952</v>
      </c>
      <c r="L17" s="161">
        <v>330</v>
      </c>
      <c r="M17" s="161">
        <v>64.98</v>
      </c>
      <c r="N17" s="161">
        <v>117.5</v>
      </c>
      <c r="O17" s="161">
        <v>105.6</v>
      </c>
      <c r="P17" s="161">
        <v>124.6</v>
      </c>
      <c r="Q17" s="159"/>
    </row>
    <row r="18" spans="1:17" x14ac:dyDescent="0.35">
      <c r="A18" s="159">
        <f t="shared" si="0"/>
        <v>14</v>
      </c>
      <c r="B18" s="160">
        <v>43983</v>
      </c>
      <c r="C18" s="161">
        <v>332</v>
      </c>
      <c r="D18" s="161">
        <f>(66.99+77.35)/2</f>
        <v>72.169999999999987</v>
      </c>
      <c r="E18" s="161">
        <v>119.3</v>
      </c>
      <c r="F18" s="161">
        <v>104.8</v>
      </c>
      <c r="G18" s="161">
        <v>123.2</v>
      </c>
      <c r="H18" s="159"/>
      <c r="J18" s="159">
        <f t="shared" si="1"/>
        <v>14</v>
      </c>
      <c r="K18" s="160">
        <v>43983</v>
      </c>
      <c r="L18" s="161">
        <v>332</v>
      </c>
      <c r="M18" s="161">
        <f>(66.99+77.35)/2</f>
        <v>72.169999999999987</v>
      </c>
      <c r="N18" s="161">
        <v>119.3</v>
      </c>
      <c r="O18" s="161">
        <v>104.8</v>
      </c>
      <c r="P18" s="161">
        <v>123.2</v>
      </c>
      <c r="Q18" s="159"/>
    </row>
    <row r="19" spans="1:17" x14ac:dyDescent="0.35">
      <c r="A19" s="159">
        <f t="shared" si="0"/>
        <v>15</v>
      </c>
      <c r="B19" s="160">
        <v>44013</v>
      </c>
      <c r="C19" s="161">
        <v>336</v>
      </c>
      <c r="D19" s="161">
        <f>(77.6+78.67)/2</f>
        <v>78.134999999999991</v>
      </c>
      <c r="E19" s="161">
        <v>121</v>
      </c>
      <c r="F19" s="161">
        <v>102.8</v>
      </c>
      <c r="G19" s="161">
        <v>121.5</v>
      </c>
      <c r="H19" s="159"/>
      <c r="J19" s="159">
        <f t="shared" si="1"/>
        <v>15</v>
      </c>
      <c r="K19" s="160">
        <v>44013</v>
      </c>
      <c r="L19" s="161">
        <v>336</v>
      </c>
      <c r="M19" s="161">
        <f>(77.6+78.67)/2</f>
        <v>78.134999999999991</v>
      </c>
      <c r="N19" s="161">
        <v>121</v>
      </c>
      <c r="O19" s="161">
        <v>102.8</v>
      </c>
      <c r="P19" s="161">
        <v>121.5</v>
      </c>
      <c r="Q19" s="159"/>
    </row>
    <row r="20" spans="1:17" x14ac:dyDescent="0.35">
      <c r="A20" s="159">
        <f t="shared" si="0"/>
        <v>16</v>
      </c>
      <c r="B20" s="160">
        <v>44044</v>
      </c>
      <c r="C20" s="161">
        <v>338</v>
      </c>
      <c r="D20" s="161">
        <v>78.67</v>
      </c>
      <c r="E20" s="161">
        <v>122</v>
      </c>
      <c r="F20" s="161">
        <v>104.5</v>
      </c>
      <c r="G20" s="161">
        <v>119.7</v>
      </c>
      <c r="H20" s="159"/>
      <c r="J20" s="159">
        <f t="shared" si="1"/>
        <v>16</v>
      </c>
      <c r="K20" s="160">
        <v>44044</v>
      </c>
      <c r="L20" s="161">
        <v>338</v>
      </c>
      <c r="M20" s="161">
        <v>78.67</v>
      </c>
      <c r="N20" s="161">
        <v>122</v>
      </c>
      <c r="O20" s="161">
        <v>104.5</v>
      </c>
      <c r="P20" s="161">
        <v>119.7</v>
      </c>
      <c r="Q20" s="159"/>
    </row>
    <row r="21" spans="1:17" x14ac:dyDescent="0.35">
      <c r="A21" s="159">
        <f t="shared" si="0"/>
        <v>17</v>
      </c>
      <c r="B21" s="160">
        <v>44075</v>
      </c>
      <c r="C21" s="161">
        <v>369.334</v>
      </c>
      <c r="D21" s="161">
        <f>(78.51+75.67)/2</f>
        <v>77.09</v>
      </c>
      <c r="E21" s="161">
        <v>122.9</v>
      </c>
      <c r="F21" s="161">
        <v>106.3</v>
      </c>
      <c r="G21" s="161">
        <v>118.3</v>
      </c>
      <c r="H21" s="159"/>
      <c r="J21" s="159">
        <f t="shared" si="1"/>
        <v>17</v>
      </c>
      <c r="K21" s="160">
        <v>44075</v>
      </c>
      <c r="L21" s="161">
        <v>369.334</v>
      </c>
      <c r="M21" s="161">
        <f>(78.51+75.67)/2</f>
        <v>77.09</v>
      </c>
      <c r="N21" s="161">
        <v>122.9</v>
      </c>
      <c r="O21" s="161">
        <v>106.3</v>
      </c>
      <c r="P21" s="161">
        <v>118.3</v>
      </c>
      <c r="Q21" s="159"/>
    </row>
    <row r="22" spans="1:17" x14ac:dyDescent="0.35">
      <c r="A22" s="159">
        <f t="shared" si="0"/>
        <v>18</v>
      </c>
      <c r="B22" s="160">
        <v>44105</v>
      </c>
      <c r="C22" s="161">
        <v>371.26600000000002</v>
      </c>
      <c r="D22" s="161">
        <f>(75.57+75.48)/2</f>
        <v>75.525000000000006</v>
      </c>
      <c r="E22" s="161">
        <v>123.6</v>
      </c>
      <c r="F22" s="161">
        <v>108</v>
      </c>
      <c r="G22" s="161">
        <v>117.8</v>
      </c>
      <c r="H22" s="159"/>
      <c r="J22" s="159">
        <f t="shared" si="1"/>
        <v>18</v>
      </c>
      <c r="K22" s="160">
        <v>44105</v>
      </c>
      <c r="L22" s="161">
        <v>371.26600000000002</v>
      </c>
      <c r="M22" s="161">
        <f>(75.57+75.48)/2</f>
        <v>75.525000000000006</v>
      </c>
      <c r="N22" s="161">
        <v>123.6</v>
      </c>
      <c r="O22" s="161">
        <v>108</v>
      </c>
      <c r="P22" s="161">
        <v>117.8</v>
      </c>
      <c r="Q22" s="159"/>
    </row>
    <row r="23" spans="1:17" x14ac:dyDescent="0.35">
      <c r="A23" s="159">
        <f t="shared" si="0"/>
        <v>19</v>
      </c>
      <c r="B23" s="160">
        <v>44136</v>
      </c>
      <c r="C23" s="161">
        <v>372.87600000000003</v>
      </c>
      <c r="D23" s="161">
        <f>(75.71+77.47)/2</f>
        <v>76.59</v>
      </c>
      <c r="E23" s="161">
        <v>125.1</v>
      </c>
      <c r="F23" s="161">
        <v>112.8</v>
      </c>
      <c r="G23" s="161">
        <v>118.7</v>
      </c>
      <c r="H23" s="159"/>
      <c r="J23" s="159">
        <f t="shared" si="1"/>
        <v>19</v>
      </c>
      <c r="K23" s="160">
        <v>44136</v>
      </c>
      <c r="L23" s="161">
        <v>372.87600000000003</v>
      </c>
      <c r="M23" s="161">
        <f>(75.71+77.47)/2</f>
        <v>76.59</v>
      </c>
      <c r="N23" s="161">
        <v>125.1</v>
      </c>
      <c r="O23" s="161">
        <v>112.8</v>
      </c>
      <c r="P23" s="161">
        <v>118.7</v>
      </c>
      <c r="Q23" s="159"/>
    </row>
    <row r="24" spans="1:17" x14ac:dyDescent="0.35">
      <c r="A24" s="159">
        <f t="shared" si="0"/>
        <v>20</v>
      </c>
      <c r="B24" s="160">
        <v>44166</v>
      </c>
      <c r="C24" s="161">
        <v>371.58800000000002</v>
      </c>
      <c r="D24" s="161">
        <f>(77.71+78.97)/2</f>
        <v>78.34</v>
      </c>
      <c r="E24" s="161">
        <v>125.4</v>
      </c>
      <c r="F24" s="161">
        <v>118.2</v>
      </c>
      <c r="G24" s="161">
        <v>118.1</v>
      </c>
      <c r="H24" s="159"/>
      <c r="J24" s="159">
        <f t="shared" si="1"/>
        <v>20</v>
      </c>
      <c r="K24" s="160">
        <v>44166</v>
      </c>
      <c r="L24" s="161">
        <v>371.58800000000002</v>
      </c>
      <c r="M24" s="161">
        <f>(77.71+78.97)/2</f>
        <v>78.34</v>
      </c>
      <c r="N24" s="161">
        <v>125.4</v>
      </c>
      <c r="O24" s="161">
        <v>118.2</v>
      </c>
      <c r="P24" s="161">
        <v>118.1</v>
      </c>
      <c r="Q24" s="159"/>
    </row>
    <row r="25" spans="1:17" x14ac:dyDescent="0.35">
      <c r="A25" s="159">
        <f t="shared" si="0"/>
        <v>21</v>
      </c>
      <c r="B25" s="160">
        <v>44197</v>
      </c>
      <c r="C25" s="161">
        <v>371.91</v>
      </c>
      <c r="D25" s="161">
        <f>(79.25+81.72)/2</f>
        <v>80.484999999999999</v>
      </c>
      <c r="E25" s="161">
        <v>126.5</v>
      </c>
      <c r="F25" s="161">
        <v>125.6</v>
      </c>
      <c r="G25" s="161">
        <v>118.5</v>
      </c>
      <c r="H25" s="159"/>
      <c r="J25" s="159">
        <f t="shared" si="1"/>
        <v>21</v>
      </c>
      <c r="K25" s="160">
        <v>44197</v>
      </c>
      <c r="L25" s="161">
        <v>371.91</v>
      </c>
      <c r="M25" s="161">
        <f>(79.25+81.72)/2</f>
        <v>80.484999999999999</v>
      </c>
      <c r="N25" s="161">
        <v>126.5</v>
      </c>
      <c r="O25" s="161">
        <v>125.6</v>
      </c>
      <c r="P25" s="161">
        <v>118.5</v>
      </c>
      <c r="Q25" s="159"/>
    </row>
    <row r="26" spans="1:17" x14ac:dyDescent="0.35">
      <c r="A26" s="159">
        <f t="shared" si="0"/>
        <v>22</v>
      </c>
      <c r="B26" s="160">
        <v>44228</v>
      </c>
      <c r="C26" s="161">
        <v>374.48599999999999</v>
      </c>
      <c r="D26" s="161">
        <f>(82.07+86.88)/2</f>
        <v>84.474999999999994</v>
      </c>
      <c r="E26" s="161">
        <v>128.1</v>
      </c>
      <c r="F26" s="161">
        <v>124.7</v>
      </c>
      <c r="G26" s="161">
        <v>120.6</v>
      </c>
      <c r="H26" s="159"/>
      <c r="J26" s="159">
        <f t="shared" si="1"/>
        <v>22</v>
      </c>
      <c r="K26" s="160">
        <v>44228</v>
      </c>
      <c r="L26" s="161">
        <v>374.48599999999999</v>
      </c>
      <c r="M26" s="161">
        <f>(82.07+86.88)/2</f>
        <v>84.474999999999994</v>
      </c>
      <c r="N26" s="161">
        <v>128.1</v>
      </c>
      <c r="O26" s="161">
        <v>124.7</v>
      </c>
      <c r="P26" s="161">
        <v>120.6</v>
      </c>
      <c r="Q26" s="159"/>
    </row>
    <row r="27" spans="1:17" x14ac:dyDescent="0.35">
      <c r="A27" s="159">
        <f t="shared" si="0"/>
        <v>23</v>
      </c>
      <c r="B27" s="160">
        <v>44256</v>
      </c>
      <c r="C27" s="161">
        <v>377.06200000000001</v>
      </c>
      <c r="D27" s="161">
        <f>(86.7+86.26)/2</f>
        <v>86.48</v>
      </c>
      <c r="E27" s="161">
        <v>129.9</v>
      </c>
      <c r="F27" s="161">
        <v>124.6</v>
      </c>
      <c r="G27" s="161">
        <v>125</v>
      </c>
      <c r="H27" s="159"/>
      <c r="J27" s="159">
        <f t="shared" si="1"/>
        <v>23</v>
      </c>
      <c r="K27" s="160">
        <v>44256</v>
      </c>
      <c r="L27" s="161">
        <v>377.06200000000001</v>
      </c>
      <c r="M27" s="161">
        <f>(86.7+86.26)/2</f>
        <v>86.48</v>
      </c>
      <c r="N27" s="161">
        <v>129.9</v>
      </c>
      <c r="O27" s="161">
        <v>124.6</v>
      </c>
      <c r="P27" s="161">
        <v>125</v>
      </c>
      <c r="Q27" s="159"/>
    </row>
    <row r="28" spans="1:17" x14ac:dyDescent="0.35">
      <c r="A28" s="159">
        <f t="shared" si="0"/>
        <v>24</v>
      </c>
      <c r="B28" s="160">
        <v>44287</v>
      </c>
      <c r="C28" s="161">
        <v>379.63800000000003</v>
      </c>
      <c r="D28" s="161">
        <v>86.11</v>
      </c>
      <c r="E28" s="161">
        <v>132</v>
      </c>
      <c r="F28" s="161">
        <v>127.6</v>
      </c>
      <c r="G28" s="161">
        <v>125.7</v>
      </c>
      <c r="H28" s="159"/>
      <c r="J28" s="159">
        <f t="shared" si="1"/>
        <v>24</v>
      </c>
      <c r="K28" s="160">
        <v>44287</v>
      </c>
      <c r="L28" s="161">
        <v>379.63800000000003</v>
      </c>
      <c r="M28" s="161">
        <v>86.11</v>
      </c>
      <c r="N28" s="161">
        <v>132</v>
      </c>
      <c r="O28" s="161">
        <v>127.6</v>
      </c>
      <c r="P28" s="161">
        <v>125.7</v>
      </c>
      <c r="Q28" s="159"/>
    </row>
    <row r="29" spans="1:17" x14ac:dyDescent="0.35">
      <c r="A29" s="159">
        <f t="shared" si="0"/>
        <v>25</v>
      </c>
      <c r="B29" s="160">
        <v>44317</v>
      </c>
      <c r="C29" s="161">
        <v>377.06200000000001</v>
      </c>
      <c r="D29" s="161">
        <f>(86.32+90.71)/2</f>
        <v>88.514999999999986</v>
      </c>
      <c r="E29" s="161">
        <v>132.9</v>
      </c>
      <c r="F29" s="161">
        <v>130.9</v>
      </c>
      <c r="G29" s="161">
        <v>123.6</v>
      </c>
      <c r="H29" s="159"/>
      <c r="J29" s="159">
        <f t="shared" si="1"/>
        <v>25</v>
      </c>
      <c r="K29" s="160">
        <v>44317</v>
      </c>
      <c r="L29" s="161">
        <v>377.06200000000001</v>
      </c>
      <c r="M29" s="161">
        <f>(86.32+90.71)/2</f>
        <v>88.514999999999986</v>
      </c>
      <c r="N29" s="161">
        <v>132.9</v>
      </c>
      <c r="O29" s="161">
        <v>130.9</v>
      </c>
      <c r="P29" s="161">
        <v>123.6</v>
      </c>
      <c r="Q29" s="159"/>
    </row>
    <row r="30" spans="1:17" x14ac:dyDescent="0.35">
      <c r="A30" s="159">
        <f t="shared" si="0"/>
        <v>26</v>
      </c>
      <c r="B30" s="160">
        <v>44348</v>
      </c>
      <c r="C30" s="161">
        <v>383.50200000000001</v>
      </c>
      <c r="D30" s="161">
        <f>(90.95+94.88)/2</f>
        <v>92.914999999999992</v>
      </c>
      <c r="E30" s="161">
        <v>133.69999999999999</v>
      </c>
      <c r="F30" s="161">
        <v>131.69999999999999</v>
      </c>
      <c r="G30" s="161">
        <v>123.6</v>
      </c>
      <c r="H30" s="159"/>
      <c r="J30" s="159">
        <f t="shared" si="1"/>
        <v>26</v>
      </c>
      <c r="K30" s="160">
        <v>44348</v>
      </c>
      <c r="L30" s="161">
        <v>383.50200000000001</v>
      </c>
      <c r="M30" s="161">
        <f>(90.95+94.88)/2</f>
        <v>92.914999999999992</v>
      </c>
      <c r="N30" s="161">
        <v>133.69999999999999</v>
      </c>
      <c r="O30" s="161">
        <v>131.69999999999999</v>
      </c>
      <c r="P30" s="161">
        <v>123.6</v>
      </c>
      <c r="Q30" s="159"/>
    </row>
    <row r="31" spans="1:17" x14ac:dyDescent="0.35">
      <c r="A31" s="159">
        <f t="shared" si="0"/>
        <v>27</v>
      </c>
      <c r="B31" s="160">
        <v>44378</v>
      </c>
      <c r="C31" s="161">
        <v>388.976</v>
      </c>
      <c r="D31" s="161">
        <f>(95.07+95.6)/2</f>
        <v>95.334999999999994</v>
      </c>
      <c r="E31" s="161">
        <v>135</v>
      </c>
      <c r="F31" s="161">
        <v>131.4</v>
      </c>
      <c r="G31" s="161">
        <v>124.7</v>
      </c>
      <c r="H31" s="159"/>
      <c r="J31" s="159">
        <f t="shared" si="1"/>
        <v>27</v>
      </c>
      <c r="K31" s="160">
        <v>44378</v>
      </c>
      <c r="L31" s="161">
        <v>388.976</v>
      </c>
      <c r="M31" s="161">
        <f>(95.07+95.6)/2</f>
        <v>95.334999999999994</v>
      </c>
      <c r="N31" s="161">
        <v>135</v>
      </c>
      <c r="O31" s="161">
        <v>131.4</v>
      </c>
      <c r="P31" s="161">
        <v>124.7</v>
      </c>
      <c r="Q31" s="159"/>
    </row>
    <row r="32" spans="1:17" x14ac:dyDescent="0.35">
      <c r="A32" s="159">
        <f t="shared" si="0"/>
        <v>28</v>
      </c>
      <c r="B32" s="160">
        <v>44409</v>
      </c>
      <c r="C32" s="161">
        <v>387.68800000000005</v>
      </c>
      <c r="D32" s="161">
        <f>(95.19+94.64)/2</f>
        <v>94.914999999999992</v>
      </c>
      <c r="E32" s="161">
        <v>136.19999999999999</v>
      </c>
      <c r="F32" s="161">
        <v>132.9</v>
      </c>
      <c r="G32" s="161">
        <v>123.3</v>
      </c>
      <c r="H32" s="159"/>
      <c r="J32" s="159">
        <f t="shared" si="1"/>
        <v>28</v>
      </c>
      <c r="K32" s="160">
        <v>44409</v>
      </c>
      <c r="L32" s="161">
        <v>387.68800000000005</v>
      </c>
      <c r="M32" s="161">
        <f>(95.19+94.64)/2</f>
        <v>94.914999999999992</v>
      </c>
      <c r="N32" s="161">
        <v>136.19999999999999</v>
      </c>
      <c r="O32" s="161">
        <v>132.9</v>
      </c>
      <c r="P32" s="161">
        <v>123.3</v>
      </c>
      <c r="Q32" s="159"/>
    </row>
    <row r="33" spans="1:17" x14ac:dyDescent="0.35">
      <c r="A33" s="159">
        <f t="shared" si="0"/>
        <v>29</v>
      </c>
      <c r="B33" s="160">
        <v>44440</v>
      </c>
      <c r="C33" s="161">
        <v>386.07800000000003</v>
      </c>
      <c r="D33" s="161">
        <f>(94.48+95.57)/2</f>
        <v>95.025000000000006</v>
      </c>
      <c r="E33" s="161">
        <v>137.4</v>
      </c>
      <c r="F33" s="161">
        <v>133.6</v>
      </c>
      <c r="G33" s="161">
        <v>122.6</v>
      </c>
      <c r="H33" s="159"/>
      <c r="J33" s="159">
        <f t="shared" si="1"/>
        <v>29</v>
      </c>
      <c r="K33" s="160">
        <v>44440</v>
      </c>
      <c r="L33" s="161">
        <v>386.07800000000003</v>
      </c>
      <c r="M33" s="161">
        <f>(94.48+95.57)/2</f>
        <v>95.025000000000006</v>
      </c>
      <c r="N33" s="161">
        <v>137.4</v>
      </c>
      <c r="O33" s="161">
        <v>133.6</v>
      </c>
      <c r="P33" s="161">
        <v>122.6</v>
      </c>
      <c r="Q33" s="159"/>
    </row>
    <row r="34" spans="1:17" x14ac:dyDescent="0.35">
      <c r="A34" s="159">
        <f t="shared" si="0"/>
        <v>30</v>
      </c>
      <c r="B34" s="160">
        <v>44470</v>
      </c>
      <c r="C34" s="161">
        <v>389.94200000000001</v>
      </c>
      <c r="D34" s="161">
        <f>(95.88+104.07)/2</f>
        <v>99.974999999999994</v>
      </c>
      <c r="E34" s="161">
        <v>140.69999999999999</v>
      </c>
      <c r="F34" s="161">
        <v>140.80000000000001</v>
      </c>
      <c r="G34" s="161">
        <v>125.3</v>
      </c>
      <c r="H34" s="159"/>
      <c r="J34" s="159">
        <f t="shared" si="1"/>
        <v>30</v>
      </c>
      <c r="K34" s="160">
        <v>44470</v>
      </c>
      <c r="L34" s="161">
        <v>389.94200000000001</v>
      </c>
      <c r="M34" s="161">
        <f>(95.88+104.07)/2</f>
        <v>99.974999999999994</v>
      </c>
      <c r="N34" s="161">
        <v>140.69999999999999</v>
      </c>
      <c r="O34" s="161">
        <v>140.80000000000001</v>
      </c>
      <c r="P34" s="161">
        <v>125.3</v>
      </c>
      <c r="Q34" s="159"/>
    </row>
    <row r="35" spans="1:17" x14ac:dyDescent="0.35">
      <c r="A35" s="159">
        <f t="shared" si="0"/>
        <v>31</v>
      </c>
      <c r="B35" s="160">
        <v>44501</v>
      </c>
      <c r="C35" s="161">
        <v>391.23</v>
      </c>
      <c r="D35" s="161">
        <f>(104.46+92.3)/2</f>
        <v>98.38</v>
      </c>
      <c r="E35" s="161">
        <v>143.69999999999999</v>
      </c>
      <c r="F35" s="161">
        <v>140.4</v>
      </c>
      <c r="G35" s="161">
        <v>127.7</v>
      </c>
      <c r="H35" s="159"/>
      <c r="J35" s="159">
        <f t="shared" si="1"/>
        <v>31</v>
      </c>
      <c r="K35" s="160">
        <v>44501</v>
      </c>
      <c r="L35" s="161">
        <v>391.23</v>
      </c>
      <c r="M35" s="161">
        <f>(104.46+92.3)/2</f>
        <v>98.38</v>
      </c>
      <c r="N35" s="161">
        <v>143.69999999999999</v>
      </c>
      <c r="O35" s="161">
        <v>140.4</v>
      </c>
      <c r="P35" s="161">
        <v>127.7</v>
      </c>
      <c r="Q35" s="159"/>
    </row>
    <row r="36" spans="1:17" x14ac:dyDescent="0.35">
      <c r="A36" s="159">
        <f t="shared" si="0"/>
        <v>32</v>
      </c>
      <c r="B36" s="160">
        <v>44531</v>
      </c>
      <c r="C36" s="161">
        <v>389.29800000000006</v>
      </c>
      <c r="D36" s="161">
        <v>92.3</v>
      </c>
      <c r="E36" s="161">
        <v>143.30000000000001</v>
      </c>
      <c r="F36" s="161">
        <v>139</v>
      </c>
      <c r="G36" s="161">
        <v>125.5</v>
      </c>
      <c r="H36" s="159"/>
      <c r="J36" s="159">
        <f t="shared" si="1"/>
        <v>32</v>
      </c>
      <c r="K36" s="160">
        <v>44531</v>
      </c>
      <c r="L36" s="161">
        <v>389.29800000000006</v>
      </c>
      <c r="M36" s="161">
        <v>92.3</v>
      </c>
      <c r="N36" s="161">
        <v>143.30000000000001</v>
      </c>
      <c r="O36" s="161">
        <v>139</v>
      </c>
      <c r="P36" s="161">
        <v>125.5</v>
      </c>
      <c r="Q36" s="159"/>
    </row>
    <row r="37" spans="1:17" x14ac:dyDescent="0.35">
      <c r="A37" s="159">
        <f t="shared" si="0"/>
        <v>33</v>
      </c>
      <c r="B37" s="160">
        <v>44562</v>
      </c>
      <c r="C37" s="161">
        <v>388.976</v>
      </c>
      <c r="D37" s="161">
        <v>92.3</v>
      </c>
      <c r="E37" s="161">
        <v>143.80000000000001</v>
      </c>
      <c r="F37" s="161">
        <v>139.9</v>
      </c>
      <c r="G37" s="161">
        <v>124.3</v>
      </c>
      <c r="H37" s="159"/>
      <c r="J37" s="159">
        <f t="shared" si="1"/>
        <v>33</v>
      </c>
      <c r="K37" s="160">
        <v>44562</v>
      </c>
      <c r="L37" s="161">
        <v>388.976</v>
      </c>
      <c r="M37" s="161">
        <v>92.3</v>
      </c>
      <c r="N37" s="161">
        <v>143.80000000000001</v>
      </c>
      <c r="O37" s="161">
        <v>139.9</v>
      </c>
      <c r="P37" s="161">
        <v>124.3</v>
      </c>
      <c r="Q37" s="159"/>
    </row>
    <row r="38" spans="1:17" x14ac:dyDescent="0.35">
      <c r="A38" s="159">
        <f t="shared" si="0"/>
        <v>34</v>
      </c>
      <c r="B38" s="160">
        <v>44593</v>
      </c>
      <c r="C38" s="161">
        <v>389.62</v>
      </c>
      <c r="D38" s="161">
        <f>(92.3+92.3)/2</f>
        <v>92.3</v>
      </c>
      <c r="E38" s="161">
        <v>145.30000000000001</v>
      </c>
      <c r="F38" s="161">
        <v>144.80000000000001</v>
      </c>
      <c r="G38" s="161">
        <v>127.9</v>
      </c>
      <c r="H38" s="159"/>
      <c r="J38" s="159">
        <f t="shared" si="1"/>
        <v>34</v>
      </c>
      <c r="K38" s="160">
        <v>44593</v>
      </c>
      <c r="L38" s="161">
        <v>389.62</v>
      </c>
      <c r="M38" s="161">
        <f>(92.3+92.3)/2</f>
        <v>92.3</v>
      </c>
      <c r="N38" s="161">
        <v>145.30000000000001</v>
      </c>
      <c r="O38" s="161">
        <v>144.80000000000001</v>
      </c>
      <c r="P38" s="161">
        <v>127.9</v>
      </c>
      <c r="Q38" s="159"/>
    </row>
    <row r="39" spans="1:17" x14ac:dyDescent="0.35">
      <c r="A39" s="159">
        <f t="shared" si="0"/>
        <v>35</v>
      </c>
      <c r="B39" s="160">
        <v>44621</v>
      </c>
      <c r="C39" s="161">
        <v>391.23</v>
      </c>
      <c r="D39" s="161">
        <f>(92.3+98.93)/2</f>
        <v>95.615000000000009</v>
      </c>
      <c r="E39" s="161">
        <v>148.9</v>
      </c>
      <c r="F39" s="161">
        <v>155.9</v>
      </c>
      <c r="G39" s="161">
        <v>130.1</v>
      </c>
      <c r="H39" s="172"/>
      <c r="J39" s="159">
        <f t="shared" si="1"/>
        <v>35</v>
      </c>
      <c r="K39" s="160">
        <v>44621</v>
      </c>
      <c r="L39" s="161">
        <v>391.23</v>
      </c>
      <c r="M39" s="161">
        <f>(92.3+98.93)/2</f>
        <v>95.615000000000009</v>
      </c>
      <c r="N39" s="161">
        <v>148.9</v>
      </c>
      <c r="O39" s="161">
        <v>155.9</v>
      </c>
      <c r="P39" s="161">
        <v>130.1</v>
      </c>
      <c r="Q39" s="172"/>
    </row>
    <row r="40" spans="1:17" x14ac:dyDescent="0.35">
      <c r="A40" s="159">
        <f t="shared" si="0"/>
        <v>36</v>
      </c>
      <c r="B40" s="160">
        <v>44652</v>
      </c>
      <c r="C40" s="161">
        <v>394.12800000000004</v>
      </c>
      <c r="D40" s="161">
        <f>(98.93+102.66)/2</f>
        <v>100.795</v>
      </c>
      <c r="E40" s="161">
        <v>152.30000000000001</v>
      </c>
      <c r="F40" s="161">
        <v>159.1</v>
      </c>
      <c r="G40" s="161">
        <v>133.5</v>
      </c>
      <c r="H40" s="172"/>
      <c r="J40" s="159">
        <f t="shared" si="1"/>
        <v>36</v>
      </c>
      <c r="K40" s="160">
        <v>44652</v>
      </c>
      <c r="L40" s="161">
        <v>394.12800000000004</v>
      </c>
      <c r="M40" s="161">
        <f>(98.93+102.66)/2</f>
        <v>100.795</v>
      </c>
      <c r="N40" s="161">
        <v>152.30000000000001</v>
      </c>
      <c r="O40" s="161">
        <v>159.1</v>
      </c>
      <c r="P40" s="161">
        <v>133.5</v>
      </c>
      <c r="Q40" s="172"/>
    </row>
    <row r="41" spans="1:17" x14ac:dyDescent="0.35">
      <c r="A41" s="159">
        <f t="shared" si="0"/>
        <v>37</v>
      </c>
      <c r="B41" s="160">
        <v>44682</v>
      </c>
      <c r="C41" s="161">
        <v>396.70400000000001</v>
      </c>
      <c r="D41" s="161">
        <f>(102.66+95.35)/2</f>
        <v>99.004999999999995</v>
      </c>
      <c r="E41" s="161">
        <v>155</v>
      </c>
      <c r="F41" s="161">
        <v>156.69999999999999</v>
      </c>
      <c r="G41" s="161">
        <v>135.1</v>
      </c>
      <c r="H41" s="172"/>
      <c r="J41" s="159">
        <f t="shared" si="1"/>
        <v>37</v>
      </c>
      <c r="K41" s="160">
        <v>44682</v>
      </c>
      <c r="L41" s="161">
        <v>396.70400000000001</v>
      </c>
      <c r="M41" s="161">
        <f>(102.66+95.35)/2</f>
        <v>99.004999999999995</v>
      </c>
      <c r="N41" s="161">
        <v>155</v>
      </c>
      <c r="O41" s="161">
        <v>156.69999999999999</v>
      </c>
      <c r="P41" s="161">
        <v>135.1</v>
      </c>
      <c r="Q41" s="172"/>
    </row>
    <row r="42" spans="1:17" x14ac:dyDescent="0.35">
      <c r="A42" s="159">
        <f t="shared" si="0"/>
        <v>38</v>
      </c>
      <c r="B42" s="160">
        <v>44713</v>
      </c>
      <c r="C42" s="161">
        <v>397.02600000000001</v>
      </c>
      <c r="D42" s="161">
        <f>(95.35+95.35)/2</f>
        <v>95.35</v>
      </c>
      <c r="E42" s="161">
        <v>155.4</v>
      </c>
      <c r="F42" s="161">
        <v>151.6</v>
      </c>
      <c r="G42" s="161">
        <v>138</v>
      </c>
      <c r="H42" s="172"/>
      <c r="J42" s="159">
        <f t="shared" si="1"/>
        <v>38</v>
      </c>
      <c r="K42" s="160">
        <v>44713</v>
      </c>
      <c r="L42" s="161">
        <v>397.02600000000001</v>
      </c>
      <c r="M42" s="161">
        <f>(95.35+95.35)/2</f>
        <v>95.35</v>
      </c>
      <c r="N42" s="161">
        <v>155.4</v>
      </c>
      <c r="O42" s="161">
        <v>151.6</v>
      </c>
      <c r="P42" s="161">
        <v>138</v>
      </c>
      <c r="Q42" s="172"/>
    </row>
    <row r="43" spans="1:17" x14ac:dyDescent="0.35">
      <c r="A43" s="159">
        <f t="shared" si="0"/>
        <v>39</v>
      </c>
      <c r="B43" s="160">
        <v>44743</v>
      </c>
      <c r="C43" s="161">
        <v>396.70400000000001</v>
      </c>
      <c r="D43" s="161">
        <f>(95.35+92.35)/2</f>
        <v>93.85</v>
      </c>
      <c r="E43" s="161">
        <v>154</v>
      </c>
      <c r="F43" s="161">
        <v>149.9</v>
      </c>
      <c r="G43" s="161">
        <v>135</v>
      </c>
      <c r="H43" s="172"/>
      <c r="J43" s="159">
        <f t="shared" si="1"/>
        <v>39</v>
      </c>
      <c r="K43" s="160">
        <v>44743</v>
      </c>
      <c r="L43" s="161">
        <v>396.70400000000001</v>
      </c>
      <c r="M43" s="161">
        <f>(95.35+92.35)/2</f>
        <v>93.85</v>
      </c>
      <c r="N43" s="161">
        <v>154</v>
      </c>
      <c r="O43" s="161">
        <v>149.9</v>
      </c>
      <c r="P43" s="161">
        <v>135</v>
      </c>
      <c r="Q43" s="172"/>
    </row>
    <row r="44" spans="1:17" x14ac:dyDescent="0.35">
      <c r="A44" s="159">
        <f t="shared" si="0"/>
        <v>40</v>
      </c>
      <c r="B44" s="160">
        <v>44774</v>
      </c>
      <c r="C44" s="161">
        <v>396.06</v>
      </c>
      <c r="D44" s="161">
        <v>92.35</v>
      </c>
      <c r="E44" s="161">
        <v>153.19999999999999</v>
      </c>
      <c r="F44" s="161">
        <v>149.4</v>
      </c>
      <c r="G44" s="161">
        <v>133.80000000000001</v>
      </c>
      <c r="H44" s="172"/>
      <c r="J44" s="159">
        <f t="shared" si="1"/>
        <v>40</v>
      </c>
      <c r="K44" s="160">
        <v>44774</v>
      </c>
      <c r="L44" s="161">
        <v>396.06</v>
      </c>
      <c r="M44" s="161">
        <v>92.35</v>
      </c>
      <c r="N44" s="161">
        <v>153.19999999999999</v>
      </c>
      <c r="O44" s="161">
        <v>149.4</v>
      </c>
      <c r="P44" s="161">
        <v>133.80000000000001</v>
      </c>
      <c r="Q44" s="172"/>
    </row>
    <row r="45" spans="1:17" x14ac:dyDescent="0.35">
      <c r="A45" s="159">
        <f t="shared" si="0"/>
        <v>41</v>
      </c>
      <c r="B45" s="160">
        <v>44805</v>
      </c>
      <c r="C45" s="161">
        <v>395.416</v>
      </c>
      <c r="D45" s="171">
        <v>92.35</v>
      </c>
      <c r="E45" s="171">
        <v>151.9</v>
      </c>
      <c r="F45" s="171">
        <v>146.80000000000001</v>
      </c>
      <c r="G45" s="171">
        <v>133.4</v>
      </c>
      <c r="H45" s="172"/>
      <c r="J45" s="159">
        <f t="shared" si="1"/>
        <v>41</v>
      </c>
      <c r="K45" s="160">
        <v>44805</v>
      </c>
      <c r="L45" s="161">
        <v>395.416</v>
      </c>
      <c r="M45" s="171">
        <v>92.35</v>
      </c>
      <c r="N45" s="171">
        <v>151.9</v>
      </c>
      <c r="O45" s="171">
        <v>146.80000000000001</v>
      </c>
      <c r="P45" s="171">
        <v>133.4</v>
      </c>
      <c r="Q45" s="172"/>
    </row>
    <row r="46" spans="1:17" x14ac:dyDescent="0.35">
      <c r="A46" s="159">
        <f t="shared" si="0"/>
        <v>42</v>
      </c>
      <c r="B46" s="160">
        <v>44835</v>
      </c>
      <c r="C46" s="161">
        <v>399.92400000000004</v>
      </c>
      <c r="D46" s="171">
        <v>92.35</v>
      </c>
      <c r="E46" s="171">
        <v>152.9</v>
      </c>
      <c r="F46" s="171">
        <v>147.9</v>
      </c>
      <c r="G46" s="171">
        <v>133.5</v>
      </c>
      <c r="H46" s="172"/>
      <c r="J46" s="159">
        <f t="shared" si="1"/>
        <v>42</v>
      </c>
      <c r="K46" s="160">
        <v>44835</v>
      </c>
      <c r="L46" s="161">
        <v>399.92400000000004</v>
      </c>
      <c r="M46" s="171">
        <v>92.35</v>
      </c>
      <c r="N46" s="171">
        <v>152.9</v>
      </c>
      <c r="O46" s="171">
        <v>147.9</v>
      </c>
      <c r="P46" s="171">
        <v>133.5</v>
      </c>
      <c r="Q46" s="172"/>
    </row>
    <row r="47" spans="1:17" x14ac:dyDescent="0.35">
      <c r="A47" s="159">
        <f t="shared" si="0"/>
        <v>43</v>
      </c>
      <c r="B47" s="160">
        <v>44866</v>
      </c>
      <c r="C47" s="161">
        <v>393.80600000000004</v>
      </c>
      <c r="D47" s="171">
        <v>92.35</v>
      </c>
      <c r="E47" s="171">
        <v>152.1</v>
      </c>
      <c r="F47" s="171">
        <v>145</v>
      </c>
      <c r="G47" s="171">
        <v>134.5</v>
      </c>
      <c r="H47" s="172"/>
      <c r="J47" s="159">
        <f t="shared" si="1"/>
        <v>43</v>
      </c>
      <c r="K47" s="160">
        <v>44866</v>
      </c>
      <c r="L47" s="161">
        <v>393.80600000000004</v>
      </c>
      <c r="M47" s="171">
        <v>92.35</v>
      </c>
      <c r="N47" s="171">
        <v>152.1</v>
      </c>
      <c r="O47" s="171">
        <v>145</v>
      </c>
      <c r="P47" s="171">
        <v>134.5</v>
      </c>
      <c r="Q47" s="172"/>
    </row>
    <row r="48" spans="1:17" x14ac:dyDescent="0.35">
      <c r="A48" s="159">
        <f t="shared" si="0"/>
        <v>44</v>
      </c>
      <c r="B48" s="160">
        <v>44896</v>
      </c>
      <c r="C48" s="161">
        <v>394.12800000000004</v>
      </c>
      <c r="D48" s="169">
        <v>92.35</v>
      </c>
      <c r="E48" s="171">
        <v>150.4</v>
      </c>
      <c r="F48" s="171">
        <v>145.69999999999999</v>
      </c>
      <c r="G48" s="171">
        <v>135</v>
      </c>
      <c r="H48" s="172"/>
      <c r="J48" s="159">
        <f t="shared" si="1"/>
        <v>44</v>
      </c>
      <c r="K48" s="160">
        <v>44896</v>
      </c>
      <c r="L48" s="161">
        <v>394.12800000000004</v>
      </c>
      <c r="M48" s="169">
        <v>92.35</v>
      </c>
      <c r="N48" s="171">
        <v>150.4</v>
      </c>
      <c r="O48" s="171">
        <v>145.69999999999999</v>
      </c>
      <c r="P48" s="171">
        <v>135</v>
      </c>
      <c r="Q48" s="172"/>
    </row>
    <row r="49" spans="1:17" x14ac:dyDescent="0.35">
      <c r="A49" s="159">
        <f t="shared" si="0"/>
        <v>45</v>
      </c>
      <c r="B49" s="160">
        <v>44927</v>
      </c>
      <c r="C49" s="161">
        <v>397.34800000000007</v>
      </c>
      <c r="D49" s="169">
        <v>92.35</v>
      </c>
      <c r="E49" s="171">
        <v>150.69999999999999</v>
      </c>
      <c r="F49" s="171">
        <v>148.30000000000001</v>
      </c>
      <c r="G49" s="171">
        <v>136.6</v>
      </c>
      <c r="H49" s="172"/>
      <c r="J49" s="159">
        <f t="shared" si="1"/>
        <v>45</v>
      </c>
      <c r="K49" s="160">
        <v>44927</v>
      </c>
      <c r="L49" s="161">
        <v>397.34800000000007</v>
      </c>
      <c r="M49" s="169">
        <v>92.35</v>
      </c>
      <c r="N49" s="171">
        <v>150.69999999999999</v>
      </c>
      <c r="O49" s="171">
        <v>148.30000000000001</v>
      </c>
      <c r="P49" s="171">
        <v>136.6</v>
      </c>
      <c r="Q49" s="172"/>
    </row>
    <row r="50" spans="1:17" x14ac:dyDescent="0.35">
      <c r="A50" s="159">
        <f t="shared" si="0"/>
        <v>46</v>
      </c>
      <c r="B50" s="160">
        <v>44958</v>
      </c>
      <c r="C50" s="161">
        <v>397.34800000000007</v>
      </c>
      <c r="D50" s="169">
        <v>92.35</v>
      </c>
      <c r="E50" s="169">
        <v>150.9</v>
      </c>
      <c r="F50" s="169">
        <v>148.4</v>
      </c>
      <c r="G50" s="169">
        <v>136.5</v>
      </c>
      <c r="H50" s="172"/>
      <c r="J50" s="159">
        <f t="shared" si="1"/>
        <v>46</v>
      </c>
      <c r="K50" s="160">
        <v>44958</v>
      </c>
      <c r="L50" s="161">
        <v>397.34800000000007</v>
      </c>
      <c r="M50" s="169">
        <v>92.35</v>
      </c>
      <c r="N50" s="169">
        <v>150.9</v>
      </c>
      <c r="O50" s="169">
        <v>148.4</v>
      </c>
      <c r="P50" s="169">
        <v>136.5</v>
      </c>
      <c r="Q50" s="172"/>
    </row>
    <row r="51" spans="1:17" x14ac:dyDescent="0.35">
      <c r="A51" s="159">
        <f t="shared" si="0"/>
        <v>47</v>
      </c>
      <c r="B51" s="160">
        <v>44986</v>
      </c>
      <c r="C51" s="161">
        <v>400.24600000000004</v>
      </c>
      <c r="D51" s="169">
        <v>92.35</v>
      </c>
      <c r="E51" s="169">
        <v>151</v>
      </c>
      <c r="F51" s="169">
        <v>147.6</v>
      </c>
      <c r="G51" s="169">
        <v>136.80000000000001</v>
      </c>
      <c r="H51" s="172"/>
      <c r="J51" s="159">
        <f t="shared" si="1"/>
        <v>47</v>
      </c>
      <c r="K51" s="160">
        <v>44986</v>
      </c>
      <c r="L51" s="161">
        <v>400.24600000000004</v>
      </c>
      <c r="M51" s="169">
        <v>92.35</v>
      </c>
      <c r="N51" s="169">
        <v>151</v>
      </c>
      <c r="O51" s="169">
        <v>147.6</v>
      </c>
      <c r="P51" s="169">
        <v>136.80000000000001</v>
      </c>
      <c r="Q51" s="172"/>
    </row>
    <row r="52" spans="1:17" x14ac:dyDescent="0.35">
      <c r="A52" s="159">
        <f t="shared" si="0"/>
        <v>48</v>
      </c>
      <c r="B52" s="160">
        <v>45017</v>
      </c>
      <c r="C52" s="161">
        <v>400.24600000000004</v>
      </c>
      <c r="D52" s="169">
        <v>92.35</v>
      </c>
      <c r="E52" s="169">
        <v>151.1</v>
      </c>
      <c r="F52" s="169">
        <v>145.69999999999999</v>
      </c>
      <c r="G52" s="169">
        <v>136</v>
      </c>
      <c r="H52" s="172"/>
      <c r="J52" s="159">
        <f t="shared" si="1"/>
        <v>48</v>
      </c>
      <c r="K52" s="160">
        <v>45017</v>
      </c>
      <c r="L52" s="161">
        <v>400.24600000000004</v>
      </c>
      <c r="M52" s="169">
        <v>92.35</v>
      </c>
      <c r="N52" s="169">
        <v>151.1</v>
      </c>
      <c r="O52" s="169">
        <v>145.69999999999999</v>
      </c>
      <c r="P52" s="169">
        <v>136</v>
      </c>
      <c r="Q52" s="172"/>
    </row>
    <row r="53" spans="1:17" x14ac:dyDescent="0.35">
      <c r="A53" s="159">
        <f t="shared" si="0"/>
        <v>49</v>
      </c>
      <c r="B53" s="160">
        <v>45047</v>
      </c>
      <c r="C53" s="161">
        <v>402.5</v>
      </c>
      <c r="D53" s="169">
        <v>92.35</v>
      </c>
      <c r="E53" s="169">
        <v>149.4</v>
      </c>
      <c r="F53" s="169">
        <v>144.4</v>
      </c>
      <c r="G53" s="169">
        <v>134.69999999999999</v>
      </c>
      <c r="H53" s="172"/>
      <c r="J53" s="159">
        <f t="shared" si="1"/>
        <v>49</v>
      </c>
      <c r="K53" s="160">
        <v>45047</v>
      </c>
      <c r="L53" s="161">
        <v>402.5</v>
      </c>
      <c r="M53" s="169">
        <v>92.35</v>
      </c>
      <c r="N53" s="169">
        <v>149.4</v>
      </c>
      <c r="O53" s="169">
        <v>144.4</v>
      </c>
      <c r="P53" s="169">
        <v>134.69999999999999</v>
      </c>
      <c r="Q53" s="172"/>
    </row>
    <row r="54" spans="1:17" x14ac:dyDescent="0.35">
      <c r="A54" s="159">
        <f t="shared" si="0"/>
        <v>50</v>
      </c>
      <c r="B54" s="160">
        <v>45078</v>
      </c>
      <c r="C54" s="161">
        <v>406.68600000000004</v>
      </c>
      <c r="D54" s="169">
        <v>92.35</v>
      </c>
      <c r="E54" s="169">
        <v>148.9</v>
      </c>
      <c r="F54" s="169">
        <v>141.69999999999999</v>
      </c>
      <c r="G54" s="169">
        <v>135</v>
      </c>
      <c r="H54" s="172"/>
      <c r="J54" s="159">
        <f t="shared" si="1"/>
        <v>50</v>
      </c>
      <c r="K54" s="160">
        <v>45078</v>
      </c>
      <c r="L54" s="161">
        <v>406.68600000000004</v>
      </c>
      <c r="M54" s="169">
        <v>92.35</v>
      </c>
      <c r="N54" s="169">
        <v>148.9</v>
      </c>
      <c r="O54" s="169">
        <v>141.69999999999999</v>
      </c>
      <c r="P54" s="169">
        <v>135</v>
      </c>
      <c r="Q54" s="172"/>
    </row>
    <row r="55" spans="1:17" x14ac:dyDescent="0.35">
      <c r="A55" s="159">
        <f t="shared" si="0"/>
        <v>51</v>
      </c>
      <c r="B55" s="160">
        <v>45108</v>
      </c>
      <c r="C55" s="161">
        <v>410.22800000000007</v>
      </c>
      <c r="D55" s="169">
        <v>92.35</v>
      </c>
      <c r="E55" s="169">
        <v>152.1</v>
      </c>
      <c r="F55" s="169">
        <v>139.5</v>
      </c>
      <c r="G55" s="169">
        <v>135.6</v>
      </c>
      <c r="H55" s="172"/>
      <c r="J55" s="159">
        <f t="shared" si="1"/>
        <v>51</v>
      </c>
      <c r="K55" s="160">
        <v>45108</v>
      </c>
      <c r="L55" s="161">
        <v>410.22800000000007</v>
      </c>
      <c r="M55" s="169">
        <v>92.35</v>
      </c>
      <c r="N55" s="169">
        <v>152.1</v>
      </c>
      <c r="O55" s="169">
        <v>139.5</v>
      </c>
      <c r="P55" s="169">
        <v>135.6</v>
      </c>
      <c r="Q55" s="172"/>
    </row>
    <row r="56" spans="1:17" x14ac:dyDescent="0.35">
      <c r="A56" s="159">
        <f t="shared" si="0"/>
        <v>52</v>
      </c>
      <c r="B56" s="160">
        <v>45139</v>
      </c>
      <c r="C56" s="161">
        <v>409.262</v>
      </c>
      <c r="D56" s="169">
        <v>92.35</v>
      </c>
      <c r="E56" s="169">
        <v>152.5</v>
      </c>
      <c r="F56" s="169">
        <v>140.80000000000001</v>
      </c>
      <c r="G56" s="169">
        <v>136.19999999999999</v>
      </c>
      <c r="H56" s="172"/>
      <c r="J56" s="159">
        <f t="shared" si="1"/>
        <v>52</v>
      </c>
      <c r="K56" s="160">
        <v>45139</v>
      </c>
      <c r="L56" s="161">
        <v>409.262</v>
      </c>
      <c r="M56" s="169">
        <v>92.35</v>
      </c>
      <c r="N56" s="169">
        <v>152.5</v>
      </c>
      <c r="O56" s="169">
        <v>140.80000000000001</v>
      </c>
      <c r="P56" s="169">
        <v>136.19999999999999</v>
      </c>
      <c r="Q56" s="172"/>
    </row>
    <row r="57" spans="1:17" x14ac:dyDescent="0.35">
      <c r="A57" s="159">
        <f t="shared" si="0"/>
        <v>53</v>
      </c>
      <c r="B57" s="160">
        <v>45170</v>
      </c>
      <c r="C57" s="161">
        <v>402.5</v>
      </c>
      <c r="D57" s="169">
        <v>92.35</v>
      </c>
      <c r="E57" s="169">
        <v>151.80000000000001</v>
      </c>
      <c r="F57" s="169">
        <v>143.80000000000001</v>
      </c>
      <c r="G57" s="169">
        <v>134.9</v>
      </c>
      <c r="H57" s="172"/>
      <c r="J57" s="159">
        <f t="shared" si="1"/>
        <v>53</v>
      </c>
      <c r="K57" s="160">
        <v>45170</v>
      </c>
      <c r="L57" s="161">
        <v>402.5</v>
      </c>
      <c r="M57" s="169">
        <v>92.35</v>
      </c>
      <c r="N57" s="169">
        <v>151.80000000000001</v>
      </c>
      <c r="O57" s="169">
        <v>143.80000000000001</v>
      </c>
      <c r="P57" s="169">
        <v>134.9</v>
      </c>
      <c r="Q57" s="172"/>
    </row>
    <row r="58" spans="1:17" x14ac:dyDescent="0.35">
      <c r="A58" s="159">
        <f t="shared" si="0"/>
        <v>54</v>
      </c>
      <c r="B58" s="160">
        <v>45200</v>
      </c>
      <c r="C58" s="161">
        <v>412.48200000000003</v>
      </c>
      <c r="D58" s="169">
        <v>92.35</v>
      </c>
      <c r="E58" s="169">
        <v>152.5</v>
      </c>
      <c r="F58" s="169">
        <v>143.1</v>
      </c>
      <c r="G58" s="169">
        <v>136.69999999999999</v>
      </c>
      <c r="H58" s="172"/>
      <c r="J58" s="159">
        <f t="shared" si="1"/>
        <v>54</v>
      </c>
      <c r="K58" s="160">
        <v>45200</v>
      </c>
      <c r="L58" s="161">
        <v>412.48200000000003</v>
      </c>
      <c r="M58" s="169">
        <v>92.35</v>
      </c>
      <c r="N58" s="169">
        <v>152.5</v>
      </c>
      <c r="O58" s="169">
        <v>143.1</v>
      </c>
      <c r="P58" s="169">
        <v>136.69999999999999</v>
      </c>
      <c r="Q58" s="172"/>
    </row>
    <row r="59" spans="1:17" x14ac:dyDescent="0.35">
      <c r="A59" s="159">
        <f t="shared" si="0"/>
        <v>55</v>
      </c>
      <c r="B59" s="160">
        <v>45231</v>
      </c>
      <c r="C59" s="161">
        <v>409.90600000000001</v>
      </c>
      <c r="D59" s="169">
        <v>92.35</v>
      </c>
      <c r="E59" s="169">
        <v>153.1</v>
      </c>
      <c r="F59" s="169">
        <v>143.19999999999999</v>
      </c>
      <c r="G59" s="169">
        <v>135.30000000000001</v>
      </c>
      <c r="H59" s="172"/>
      <c r="J59" s="159">
        <f t="shared" si="1"/>
        <v>55</v>
      </c>
      <c r="K59" s="160">
        <v>45231</v>
      </c>
      <c r="L59" s="161">
        <v>409.90600000000001</v>
      </c>
      <c r="M59" s="169">
        <v>92.35</v>
      </c>
      <c r="N59" s="169">
        <v>153.1</v>
      </c>
      <c r="O59" s="169">
        <v>143.19999999999999</v>
      </c>
      <c r="P59" s="169">
        <v>135.30000000000001</v>
      </c>
      <c r="Q59" s="172"/>
    </row>
    <row r="60" spans="1:17" x14ac:dyDescent="0.35">
      <c r="A60" s="159">
        <f t="shared" si="0"/>
        <v>56</v>
      </c>
      <c r="B60" s="160">
        <v>45261</v>
      </c>
      <c r="C60" s="161">
        <v>409.262</v>
      </c>
      <c r="D60" s="169">
        <v>92.35</v>
      </c>
      <c r="E60" s="169">
        <v>151.80000000000001</v>
      </c>
      <c r="F60" s="169">
        <v>139.69999999999999</v>
      </c>
      <c r="G60" s="169">
        <v>135.9</v>
      </c>
      <c r="H60" s="172"/>
      <c r="J60" s="159">
        <f t="shared" si="1"/>
        <v>56</v>
      </c>
      <c r="K60" s="160">
        <v>45261</v>
      </c>
      <c r="L60" s="161">
        <v>409.262</v>
      </c>
      <c r="M60" s="169">
        <v>92.35</v>
      </c>
      <c r="N60" s="169">
        <v>151.80000000000001</v>
      </c>
      <c r="O60" s="169">
        <v>139.69999999999999</v>
      </c>
      <c r="P60" s="169">
        <v>135.9</v>
      </c>
      <c r="Q60" s="172"/>
    </row>
    <row r="61" spans="1:17" x14ac:dyDescent="0.35">
      <c r="A61" s="159">
        <f t="shared" si="0"/>
        <v>57</v>
      </c>
      <c r="B61" s="160">
        <v>45292</v>
      </c>
      <c r="C61" s="161">
        <v>410.87200000000001</v>
      </c>
      <c r="D61" s="169">
        <v>92.35</v>
      </c>
      <c r="E61" s="169">
        <v>151.19999999999999</v>
      </c>
      <c r="F61" s="169">
        <v>138.30000000000001</v>
      </c>
      <c r="G61" s="169">
        <v>135.5</v>
      </c>
      <c r="H61" s="172"/>
      <c r="J61" s="159">
        <f t="shared" si="1"/>
        <v>57</v>
      </c>
      <c r="K61" s="160">
        <v>45292</v>
      </c>
      <c r="L61" s="161">
        <v>410.87200000000001</v>
      </c>
      <c r="M61" s="169">
        <v>92.35</v>
      </c>
      <c r="N61" s="169">
        <v>151.19999999999999</v>
      </c>
      <c r="O61" s="169">
        <v>138.30000000000001</v>
      </c>
      <c r="P61" s="169">
        <v>135.5</v>
      </c>
      <c r="Q61" s="172"/>
    </row>
    <row r="62" spans="1:17" x14ac:dyDescent="0.35">
      <c r="A62" s="159">
        <f t="shared" si="0"/>
        <v>58</v>
      </c>
      <c r="B62" s="160">
        <v>45323</v>
      </c>
      <c r="C62" s="161">
        <v>417.31200000000001</v>
      </c>
      <c r="D62" s="169">
        <v>92.35</v>
      </c>
      <c r="E62" s="169">
        <v>151.19999999999999</v>
      </c>
      <c r="F62" s="169">
        <v>138.30000000000001</v>
      </c>
      <c r="G62" s="169">
        <v>134.1</v>
      </c>
      <c r="H62" s="172"/>
      <c r="J62" s="159">
        <f t="shared" si="1"/>
        <v>58</v>
      </c>
      <c r="K62" s="160">
        <v>45323</v>
      </c>
      <c r="L62" s="161">
        <v>417.31200000000001</v>
      </c>
      <c r="M62" s="169">
        <v>92.35</v>
      </c>
      <c r="N62" s="169">
        <v>151.19999999999999</v>
      </c>
      <c r="O62" s="169">
        <v>138.30000000000001</v>
      </c>
      <c r="P62" s="169">
        <v>134.1</v>
      </c>
      <c r="Q62" s="172"/>
    </row>
    <row r="63" spans="1:17" x14ac:dyDescent="0.35">
      <c r="A63" s="159">
        <f t="shared" si="0"/>
        <v>59</v>
      </c>
      <c r="B63" s="160">
        <v>45352</v>
      </c>
      <c r="C63" s="161">
        <v>412.48200000000003</v>
      </c>
      <c r="D63" s="169">
        <f>(92.35+90.28)/2</f>
        <v>91.314999999999998</v>
      </c>
      <c r="E63" s="169">
        <v>151.4</v>
      </c>
      <c r="F63" s="169">
        <v>138.9</v>
      </c>
      <c r="G63" s="169">
        <v>132</v>
      </c>
      <c r="H63" s="172"/>
      <c r="J63" s="159">
        <f t="shared" si="1"/>
        <v>59</v>
      </c>
      <c r="K63" s="160">
        <v>45352</v>
      </c>
      <c r="L63" s="161">
        <v>412.48200000000003</v>
      </c>
      <c r="M63" s="169">
        <f>(92.35+90.28)/2</f>
        <v>91.314999999999998</v>
      </c>
      <c r="N63" s="169">
        <v>151.4</v>
      </c>
      <c r="O63" s="169">
        <v>138.9</v>
      </c>
      <c r="P63" s="169">
        <v>132</v>
      </c>
      <c r="Q63" s="172"/>
    </row>
    <row r="64" spans="1:17" x14ac:dyDescent="0.35">
      <c r="A64" s="159">
        <f t="shared" si="0"/>
        <v>60</v>
      </c>
      <c r="B64" s="160">
        <v>45383</v>
      </c>
      <c r="C64" s="161">
        <v>411.51600000000002</v>
      </c>
      <c r="D64" s="169">
        <v>90.28</v>
      </c>
      <c r="E64" s="169">
        <v>152.9</v>
      </c>
      <c r="F64" s="169">
        <v>142.30000000000001</v>
      </c>
      <c r="G64" s="169">
        <v>131.1</v>
      </c>
      <c r="H64" s="172"/>
      <c r="J64" s="159">
        <f t="shared" si="1"/>
        <v>60</v>
      </c>
      <c r="K64" s="160">
        <v>45383</v>
      </c>
      <c r="L64" s="161">
        <v>411.51600000000002</v>
      </c>
      <c r="M64" s="169">
        <v>90.28</v>
      </c>
      <c r="N64" s="169">
        <v>152.9</v>
      </c>
      <c r="O64" s="169">
        <v>142.30000000000001</v>
      </c>
      <c r="P64" s="169">
        <v>131.1</v>
      </c>
      <c r="Q64" s="172"/>
    </row>
    <row r="65" spans="1:17" x14ac:dyDescent="0.35">
      <c r="A65" s="159">
        <f t="shared" si="0"/>
        <v>61</v>
      </c>
      <c r="B65" s="160">
        <v>45413</v>
      </c>
      <c r="C65" s="161">
        <v>416.024</v>
      </c>
      <c r="D65" s="169">
        <v>90.28</v>
      </c>
      <c r="E65" s="169">
        <v>153.5</v>
      </c>
      <c r="F65" s="169">
        <v>144.5</v>
      </c>
      <c r="G65" s="169">
        <v>129.30000000000001</v>
      </c>
      <c r="H65" s="172"/>
      <c r="J65" s="159">
        <f t="shared" si="1"/>
        <v>61</v>
      </c>
      <c r="K65" s="160">
        <v>45413</v>
      </c>
      <c r="L65" s="161">
        <v>416.024</v>
      </c>
      <c r="M65" s="169">
        <v>90.28</v>
      </c>
      <c r="N65" s="169">
        <v>153.5</v>
      </c>
      <c r="O65" s="169">
        <v>144.5</v>
      </c>
      <c r="P65" s="169">
        <v>129.30000000000001</v>
      </c>
      <c r="Q65" s="172"/>
    </row>
    <row r="66" spans="1:17" x14ac:dyDescent="0.35">
      <c r="A66" s="159">
        <f t="shared" si="0"/>
        <v>62</v>
      </c>
      <c r="B66" s="160">
        <v>45444</v>
      </c>
      <c r="C66" s="161">
        <v>416.66800000000006</v>
      </c>
      <c r="D66" s="169">
        <v>90.28</v>
      </c>
      <c r="E66" s="169">
        <v>154</v>
      </c>
      <c r="F66" s="169">
        <v>143.6</v>
      </c>
      <c r="G66" s="169">
        <v>126.8</v>
      </c>
      <c r="H66" s="172"/>
      <c r="J66" s="159">
        <f t="shared" si="1"/>
        <v>62</v>
      </c>
      <c r="K66" s="160">
        <v>45444</v>
      </c>
      <c r="L66" s="161">
        <v>416.66800000000006</v>
      </c>
      <c r="M66" s="169">
        <v>90.28</v>
      </c>
      <c r="N66" s="169">
        <v>154</v>
      </c>
      <c r="O66" s="169">
        <v>143.6</v>
      </c>
      <c r="P66" s="169">
        <v>126.8</v>
      </c>
      <c r="Q66" s="172"/>
    </row>
    <row r="67" spans="1:17" x14ac:dyDescent="0.35">
      <c r="A67" s="159">
        <f t="shared" si="0"/>
        <v>63</v>
      </c>
      <c r="B67" s="160">
        <v>45474</v>
      </c>
      <c r="C67" s="161">
        <v>421.17600000000004</v>
      </c>
      <c r="D67" s="169">
        <v>90.28</v>
      </c>
      <c r="E67" s="169">
        <v>155.30000000000001</v>
      </c>
      <c r="F67" s="169">
        <v>139.69999999999999</v>
      </c>
      <c r="G67" s="169">
        <v>124</v>
      </c>
      <c r="H67" s="172"/>
      <c r="J67" s="159">
        <f t="shared" si="1"/>
        <v>63</v>
      </c>
      <c r="K67" s="160">
        <v>45474</v>
      </c>
      <c r="L67" s="161">
        <v>421.17600000000004</v>
      </c>
      <c r="M67" s="169">
        <v>90.28</v>
      </c>
      <c r="N67" s="169">
        <v>155.30000000000001</v>
      </c>
      <c r="O67" s="169">
        <v>139.69999999999999</v>
      </c>
      <c r="P67" s="169">
        <v>124</v>
      </c>
      <c r="Q67" s="172"/>
    </row>
    <row r="68" spans="1:17" x14ac:dyDescent="0.35">
      <c r="A68" s="159">
        <f t="shared" si="0"/>
        <v>64</v>
      </c>
      <c r="B68" s="160">
        <v>45505</v>
      </c>
      <c r="C68" s="161">
        <v>422.142</v>
      </c>
      <c r="D68" s="169">
        <v>90.28</v>
      </c>
      <c r="E68" s="169">
        <v>154.4</v>
      </c>
      <c r="F68" s="169">
        <v>138.6</v>
      </c>
      <c r="G68" s="169">
        <v>122.6</v>
      </c>
      <c r="H68" s="172"/>
      <c r="J68" s="159">
        <f t="shared" si="1"/>
        <v>64</v>
      </c>
      <c r="K68" s="160">
        <v>45505</v>
      </c>
      <c r="L68" s="161">
        <v>422.142</v>
      </c>
      <c r="M68" s="169">
        <v>90.28</v>
      </c>
      <c r="N68" s="169">
        <v>154.4</v>
      </c>
      <c r="O68" s="169">
        <v>138.6</v>
      </c>
      <c r="P68" s="169">
        <v>122.6</v>
      </c>
      <c r="Q68" s="172"/>
    </row>
    <row r="69" spans="1:17" x14ac:dyDescent="0.35">
      <c r="A69" s="159">
        <f t="shared" si="0"/>
        <v>65</v>
      </c>
      <c r="B69" s="160">
        <v>45536</v>
      </c>
      <c r="C69" s="161">
        <v>422.142</v>
      </c>
      <c r="D69" s="169">
        <v>90.28</v>
      </c>
      <c r="E69" s="169">
        <v>154.69999999999999</v>
      </c>
      <c r="F69" s="169">
        <v>138.9</v>
      </c>
      <c r="G69" s="169">
        <v>125</v>
      </c>
      <c r="H69" s="172"/>
      <c r="J69" s="159">
        <f t="shared" si="1"/>
        <v>65</v>
      </c>
      <c r="K69" s="160">
        <v>45536</v>
      </c>
      <c r="L69" s="161">
        <v>422.142</v>
      </c>
      <c r="M69" s="169">
        <v>90.28</v>
      </c>
      <c r="N69" s="169">
        <v>154.69999999999999</v>
      </c>
      <c r="O69" s="169">
        <v>138.9</v>
      </c>
      <c r="P69" s="169">
        <v>125</v>
      </c>
      <c r="Q69" s="172"/>
    </row>
    <row r="70" spans="1:17" x14ac:dyDescent="0.35">
      <c r="A70" s="159">
        <f t="shared" si="0"/>
        <v>66</v>
      </c>
      <c r="B70" s="160">
        <v>45566</v>
      </c>
      <c r="C70" s="161">
        <v>424.07400000000001</v>
      </c>
      <c r="D70" s="169">
        <v>90.28</v>
      </c>
      <c r="E70" s="169">
        <v>156.69999999999999</v>
      </c>
      <c r="F70" s="169">
        <v>140</v>
      </c>
      <c r="G70" s="169">
        <v>124.6</v>
      </c>
      <c r="H70" s="172"/>
      <c r="J70" s="159">
        <f t="shared" si="1"/>
        <v>66</v>
      </c>
      <c r="K70" s="160">
        <v>45566</v>
      </c>
      <c r="L70" s="161">
        <v>424.07400000000001</v>
      </c>
      <c r="M70" s="169">
        <v>90.28</v>
      </c>
      <c r="N70" s="169">
        <v>156.69999999999999</v>
      </c>
      <c r="O70" s="169">
        <v>140</v>
      </c>
      <c r="P70" s="169">
        <v>124.6</v>
      </c>
      <c r="Q70" s="172"/>
    </row>
    <row r="71" spans="1:17" x14ac:dyDescent="0.35">
      <c r="A71" s="159">
        <f t="shared" ref="A71:A81" si="2">+A70+1</f>
        <v>67</v>
      </c>
      <c r="B71" s="160">
        <v>45597</v>
      </c>
      <c r="C71" s="161">
        <v>426.65000000000003</v>
      </c>
      <c r="D71" s="169">
        <v>90.28</v>
      </c>
      <c r="E71" s="169">
        <v>156.4</v>
      </c>
      <c r="F71" s="169">
        <v>140.19999999999999</v>
      </c>
      <c r="G71" s="169">
        <v>125.3</v>
      </c>
      <c r="H71" s="172"/>
      <c r="J71" s="159">
        <f t="shared" ref="J71:J81" si="3">+J70+1</f>
        <v>67</v>
      </c>
      <c r="K71" s="160">
        <v>45597</v>
      </c>
      <c r="L71" s="161">
        <v>426.65000000000003</v>
      </c>
      <c r="M71" s="169">
        <v>90.28</v>
      </c>
      <c r="N71" s="169">
        <v>156.4</v>
      </c>
      <c r="O71" s="169">
        <v>140.19999999999999</v>
      </c>
      <c r="P71" s="169">
        <v>125.3</v>
      </c>
      <c r="Q71" s="172"/>
    </row>
    <row r="72" spans="1:17" x14ac:dyDescent="0.35">
      <c r="A72" s="159">
        <f t="shared" si="2"/>
        <v>68</v>
      </c>
      <c r="B72" s="160">
        <v>45627</v>
      </c>
      <c r="C72" s="161">
        <v>427.61600000000004</v>
      </c>
      <c r="D72" s="169">
        <f>(90.28+90.34)/2</f>
        <v>90.31</v>
      </c>
      <c r="E72" s="169">
        <v>155.69999999999999</v>
      </c>
      <c r="F72" s="169">
        <v>139.5</v>
      </c>
      <c r="G72" s="169">
        <v>127.9</v>
      </c>
      <c r="H72" s="172"/>
      <c r="J72" s="159">
        <f t="shared" si="3"/>
        <v>68</v>
      </c>
      <c r="K72" s="160">
        <v>45627</v>
      </c>
      <c r="L72" s="161">
        <v>427.61600000000004</v>
      </c>
      <c r="M72" s="169">
        <f>(90.28+90.34)/2</f>
        <v>90.31</v>
      </c>
      <c r="N72" s="169">
        <v>155.69999999999999</v>
      </c>
      <c r="O72" s="169">
        <v>139.5</v>
      </c>
      <c r="P72" s="169">
        <v>127.9</v>
      </c>
      <c r="Q72" s="172"/>
    </row>
    <row r="73" spans="1:17" x14ac:dyDescent="0.35">
      <c r="A73" s="159">
        <f t="shared" si="2"/>
        <v>69</v>
      </c>
      <c r="B73" s="160">
        <v>45658</v>
      </c>
      <c r="C73" s="161">
        <v>431.15800000000007</v>
      </c>
      <c r="D73" s="169">
        <v>90.34</v>
      </c>
      <c r="E73" s="169">
        <v>155</v>
      </c>
      <c r="F73" s="169">
        <v>138.5</v>
      </c>
      <c r="G73" s="169">
        <v>128.19999999999999</v>
      </c>
      <c r="H73" s="172"/>
      <c r="J73" s="159">
        <f t="shared" si="3"/>
        <v>69</v>
      </c>
      <c r="K73" s="160">
        <v>45658</v>
      </c>
      <c r="L73" s="161">
        <v>431.15800000000007</v>
      </c>
      <c r="M73" s="169">
        <v>90.34</v>
      </c>
      <c r="N73" s="169">
        <v>155</v>
      </c>
      <c r="O73" s="169">
        <v>138.5</v>
      </c>
      <c r="P73" s="169">
        <v>128.19999999999999</v>
      </c>
      <c r="Q73" s="172"/>
    </row>
    <row r="74" spans="1:17" x14ac:dyDescent="0.35">
      <c r="A74" s="159">
        <f t="shared" si="2"/>
        <v>70</v>
      </c>
      <c r="B74" s="160">
        <v>45689</v>
      </c>
      <c r="C74" s="161">
        <v>431.48</v>
      </c>
      <c r="D74" s="169">
        <v>90.34</v>
      </c>
      <c r="E74" s="169">
        <v>154.9</v>
      </c>
      <c r="F74" s="169">
        <v>138.69999999999999</v>
      </c>
      <c r="G74" s="169">
        <v>128.9</v>
      </c>
      <c r="H74" s="172"/>
      <c r="J74" s="159">
        <f t="shared" si="3"/>
        <v>70</v>
      </c>
      <c r="K74" s="160">
        <v>45689</v>
      </c>
      <c r="L74" s="161">
        <v>431.48</v>
      </c>
      <c r="M74" s="169">
        <v>90.34</v>
      </c>
      <c r="N74" s="169">
        <v>154.9</v>
      </c>
      <c r="O74" s="169">
        <v>138.69999999999999</v>
      </c>
      <c r="P74" s="169">
        <v>128.9</v>
      </c>
      <c r="Q74" s="172"/>
    </row>
    <row r="75" spans="1:17" x14ac:dyDescent="0.35">
      <c r="A75" s="159">
        <f t="shared" si="2"/>
        <v>71</v>
      </c>
      <c r="B75" s="160">
        <v>45717</v>
      </c>
      <c r="C75" s="161">
        <v>431.15800000000007</v>
      </c>
      <c r="D75" s="169">
        <v>90.34</v>
      </c>
      <c r="E75" s="169">
        <v>154.80000000000001</v>
      </c>
      <c r="F75" s="169">
        <v>140</v>
      </c>
      <c r="G75" s="169">
        <v>129.30000000000001</v>
      </c>
      <c r="H75" s="172"/>
      <c r="J75" s="159">
        <f t="shared" si="3"/>
        <v>71</v>
      </c>
      <c r="K75" s="160">
        <v>45717</v>
      </c>
      <c r="L75" s="161">
        <v>431.15800000000007</v>
      </c>
      <c r="M75" s="169">
        <v>90.34</v>
      </c>
      <c r="N75" s="169">
        <v>154.80000000000001</v>
      </c>
      <c r="O75" s="169">
        <v>140</v>
      </c>
      <c r="P75" s="169">
        <v>129.30000000000001</v>
      </c>
      <c r="Q75" s="172"/>
    </row>
    <row r="76" spans="1:17" x14ac:dyDescent="0.35">
      <c r="A76" s="159">
        <f t="shared" si="2"/>
        <v>72</v>
      </c>
      <c r="B76" s="160">
        <v>45748</v>
      </c>
      <c r="C76" s="161">
        <v>431.48</v>
      </c>
      <c r="D76" s="169">
        <v>90.34</v>
      </c>
      <c r="E76" s="169">
        <v>154.19999999999999</v>
      </c>
      <c r="F76" s="169">
        <v>140.80000000000001</v>
      </c>
      <c r="G76" s="169">
        <v>127.6</v>
      </c>
      <c r="H76" s="172"/>
      <c r="J76" s="159">
        <f t="shared" si="3"/>
        <v>72</v>
      </c>
      <c r="K76" s="160">
        <v>45748</v>
      </c>
      <c r="L76" s="161">
        <v>431.48</v>
      </c>
      <c r="M76" s="169">
        <v>90.34</v>
      </c>
      <c r="N76" s="169">
        <v>154.19999999999999</v>
      </c>
      <c r="O76" s="169">
        <v>140.80000000000001</v>
      </c>
      <c r="P76" s="169">
        <v>127.6</v>
      </c>
      <c r="Q76" s="172"/>
    </row>
    <row r="77" spans="1:17" x14ac:dyDescent="0.35">
      <c r="A77" s="159">
        <f t="shared" si="2"/>
        <v>73</v>
      </c>
      <c r="B77" s="160">
        <v>45778</v>
      </c>
      <c r="C77" s="161">
        <v>435.66600000000005</v>
      </c>
      <c r="D77" s="169">
        <v>90.34</v>
      </c>
      <c r="E77" s="169">
        <v>153.69999999999999</v>
      </c>
      <c r="F77" s="169">
        <v>138.69999999999999</v>
      </c>
      <c r="G77" s="169">
        <v>131</v>
      </c>
      <c r="H77" s="172"/>
      <c r="J77" s="159">
        <f t="shared" si="3"/>
        <v>73</v>
      </c>
      <c r="K77" s="160">
        <v>45778</v>
      </c>
      <c r="L77" s="161">
        <v>435.66600000000005</v>
      </c>
      <c r="M77" s="169">
        <v>90.34</v>
      </c>
      <c r="N77" s="169">
        <v>153.69999999999999</v>
      </c>
      <c r="O77" s="169">
        <v>138.69999999999999</v>
      </c>
      <c r="P77" s="169">
        <v>131</v>
      </c>
      <c r="Q77" s="172"/>
    </row>
    <row r="78" spans="1:17" x14ac:dyDescent="0.35">
      <c r="A78" s="159">
        <f t="shared" si="2"/>
        <v>74</v>
      </c>
      <c r="B78" s="160">
        <v>45809</v>
      </c>
      <c r="C78" s="161">
        <v>435.98800000000006</v>
      </c>
      <c r="D78" s="169">
        <v>90.34</v>
      </c>
      <c r="E78" s="169">
        <v>153.69999999999999</v>
      </c>
      <c r="F78" s="169">
        <v>137.19999999999999</v>
      </c>
      <c r="G78" s="169">
        <v>131.30000000000001</v>
      </c>
      <c r="H78" s="172"/>
      <c r="J78" s="159">
        <f t="shared" si="3"/>
        <v>74</v>
      </c>
      <c r="K78" s="160">
        <v>45809</v>
      </c>
      <c r="L78" s="161">
        <v>435.98800000000006</v>
      </c>
      <c r="M78" s="169">
        <v>90.34</v>
      </c>
      <c r="N78" s="169">
        <v>153.69999999999999</v>
      </c>
      <c r="O78" s="169">
        <v>137.19999999999999</v>
      </c>
      <c r="P78" s="169">
        <v>131.30000000000001</v>
      </c>
      <c r="Q78" s="172"/>
    </row>
    <row r="79" spans="1:17" x14ac:dyDescent="0.35">
      <c r="A79" s="159">
        <f t="shared" si="2"/>
        <v>75</v>
      </c>
      <c r="B79" s="160">
        <v>45839</v>
      </c>
      <c r="C79" s="161">
        <v>441.78399999999999</v>
      </c>
      <c r="D79" s="169">
        <v>90.34</v>
      </c>
      <c r="E79" s="169">
        <v>154.4</v>
      </c>
      <c r="F79" s="169">
        <v>135.4</v>
      </c>
      <c r="G79" s="169">
        <v>131.4</v>
      </c>
      <c r="H79" s="172"/>
      <c r="J79" s="159">
        <f t="shared" si="3"/>
        <v>75</v>
      </c>
      <c r="K79" s="160">
        <v>45839</v>
      </c>
      <c r="L79" s="161">
        <v>441.78399999999999</v>
      </c>
      <c r="M79" s="169">
        <v>90.34</v>
      </c>
      <c r="N79" s="169">
        <v>154.4</v>
      </c>
      <c r="O79" s="169">
        <v>135.4</v>
      </c>
      <c r="P79" s="169">
        <v>131.4</v>
      </c>
      <c r="Q79" s="172"/>
    </row>
    <row r="80" spans="1:17" x14ac:dyDescent="0.35">
      <c r="A80" s="159">
        <f t="shared" si="2"/>
        <v>76</v>
      </c>
      <c r="B80" s="160">
        <v>45870</v>
      </c>
      <c r="C80" s="161">
        <v>444.68200000000002</v>
      </c>
      <c r="D80" s="169">
        <v>90.34</v>
      </c>
      <c r="E80" s="169">
        <v>155.19999999999999</v>
      </c>
      <c r="F80" s="169">
        <v>135.80000000000001</v>
      </c>
      <c r="G80" s="169">
        <v>131</v>
      </c>
      <c r="H80" s="172"/>
      <c r="J80" s="159">
        <f t="shared" si="3"/>
        <v>76</v>
      </c>
      <c r="K80" s="160">
        <v>45870</v>
      </c>
      <c r="L80" s="161">
        <v>444.68200000000002</v>
      </c>
      <c r="M80" s="169">
        <v>90.34</v>
      </c>
      <c r="N80" s="169">
        <v>155.19999999999999</v>
      </c>
      <c r="O80" s="169">
        <v>135.80000000000001</v>
      </c>
      <c r="P80" s="169">
        <v>131</v>
      </c>
      <c r="Q80" s="172"/>
    </row>
    <row r="81" spans="1:17" x14ac:dyDescent="0.35">
      <c r="A81" s="159">
        <f t="shared" si="2"/>
        <v>77</v>
      </c>
      <c r="B81" s="160">
        <v>45901</v>
      </c>
      <c r="C81" s="161">
        <v>444.68200000000002</v>
      </c>
      <c r="D81" s="169">
        <v>90.34</v>
      </c>
      <c r="E81" s="169">
        <v>155.19999999999999</v>
      </c>
      <c r="F81" s="169">
        <v>135.80000000000001</v>
      </c>
      <c r="G81" s="169">
        <v>131</v>
      </c>
      <c r="H81" s="172"/>
      <c r="J81" s="159">
        <f t="shared" si="3"/>
        <v>77</v>
      </c>
      <c r="K81" s="160">
        <v>45901</v>
      </c>
      <c r="L81" s="161">
        <v>444.68200000000002</v>
      </c>
      <c r="M81" s="169">
        <v>90.34</v>
      </c>
      <c r="N81" s="169">
        <v>155.19999999999999</v>
      </c>
      <c r="O81" s="169">
        <v>135.80000000000001</v>
      </c>
      <c r="P81" s="169">
        <v>131</v>
      </c>
      <c r="Q81" s="172"/>
    </row>
    <row r="82" spans="1:17" x14ac:dyDescent="0.35">
      <c r="A82" s="159"/>
      <c r="B82" s="160"/>
      <c r="C82" s="169"/>
      <c r="D82" s="172"/>
      <c r="E82" s="169"/>
      <c r="F82" s="169"/>
      <c r="G82" s="169"/>
      <c r="H82" s="172"/>
      <c r="J82" s="159"/>
      <c r="K82" s="160"/>
      <c r="L82" s="169"/>
      <c r="M82" s="172"/>
      <c r="N82" s="169"/>
      <c r="O82" s="169"/>
      <c r="P82" s="169"/>
      <c r="Q82" s="172"/>
    </row>
  </sheetData>
  <mergeCells count="8">
    <mergeCell ref="A1:H1"/>
    <mergeCell ref="J1:Q1"/>
    <mergeCell ref="A2:A3"/>
    <mergeCell ref="B2:B3"/>
    <mergeCell ref="C2:H2"/>
    <mergeCell ref="J2:J3"/>
    <mergeCell ref="K2:K3"/>
    <mergeCell ref="L2:Q2"/>
  </mergeCells>
  <printOptions horizontalCentered="1"/>
  <pageMargins left="0.43" right="0.43" top="0.28000000000000003" bottom="0.74803149606299202" header="0.31496062992126" footer="0.31496062992126"/>
  <pageSetup paperSize="9" fitToHeight="1111" orientation="portrait" r:id="rId1"/>
  <headerFooter>
    <oddFooter>Page &amp;P of &amp;N</oddFooter>
  </headerFooter>
  <rowBreaks count="1" manualBreakCount="1">
    <brk id="82" max="7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view="pageBreakPreview" topLeftCell="A37" zoomScale="85" zoomScaleNormal="100" zoomScaleSheetLayoutView="85" workbookViewId="0">
      <selection activeCell="W26" sqref="W26"/>
    </sheetView>
  </sheetViews>
  <sheetFormatPr defaultRowHeight="15.5" x14ac:dyDescent="0.35"/>
  <cols>
    <col min="10" max="10" width="10" customWidth="1"/>
    <col min="11" max="11" width="11.58203125" customWidth="1"/>
    <col min="12" max="12" width="11.08203125" customWidth="1"/>
  </cols>
  <sheetData/>
  <pageMargins left="0.61" right="0.48" top="0.75" bottom="0.75" header="0.3" footer="0.3"/>
  <pageSetup paperSize="9" scale="71" orientation="portrait" r:id="rId1"/>
  <rowBreaks count="1" manualBreakCount="1">
    <brk id="6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22</vt:i4>
      </vt:variant>
    </vt:vector>
  </HeadingPairs>
  <TitlesOfParts>
    <vt:vector size="37" baseType="lpstr">
      <vt:lpstr>Detailed Info</vt:lpstr>
      <vt:lpstr>Summary</vt:lpstr>
      <vt:lpstr>Labour</vt:lpstr>
      <vt:lpstr>Other material </vt:lpstr>
      <vt:lpstr>P.O.L</vt:lpstr>
      <vt:lpstr>TMT</vt:lpstr>
      <vt:lpstr>Cement</vt:lpstr>
      <vt:lpstr>Material details</vt:lpstr>
      <vt:lpstr>CEMENT-1</vt:lpstr>
      <vt:lpstr>Cement-Con-1</vt:lpstr>
      <vt:lpstr>CEMENT-2</vt:lpstr>
      <vt:lpstr>Indices</vt:lpstr>
      <vt:lpstr>Corrected Index</vt:lpstr>
      <vt:lpstr>Corrected Index (2)</vt:lpstr>
      <vt:lpstr>Sheet2</vt:lpstr>
      <vt:lpstr>Cement!Print_Area</vt:lpstr>
      <vt:lpstr>'CEMENT-1'!Print_Area</vt:lpstr>
      <vt:lpstr>'CEMENT-2'!Print_Area</vt:lpstr>
      <vt:lpstr>'Cement-Con-1'!Print_Area</vt:lpstr>
      <vt:lpstr>'Corrected Index'!Print_Area</vt:lpstr>
      <vt:lpstr>'Corrected Index (2)'!Print_Area</vt:lpstr>
      <vt:lpstr>'Detailed Info'!Print_Area</vt:lpstr>
      <vt:lpstr>Indices!Print_Area</vt:lpstr>
      <vt:lpstr>Labour!Print_Area</vt:lpstr>
      <vt:lpstr>'Material details'!Print_Area</vt:lpstr>
      <vt:lpstr>'Other material '!Print_Area</vt:lpstr>
      <vt:lpstr>P.O.L!Print_Area</vt:lpstr>
      <vt:lpstr>Summary!Print_Area</vt:lpstr>
      <vt:lpstr>TMT!Print_Area</vt:lpstr>
      <vt:lpstr>Cement!Print_Titles</vt:lpstr>
      <vt:lpstr>'Corrected Index'!Print_Titles</vt:lpstr>
      <vt:lpstr>'Corrected Index (2)'!Print_Titles</vt:lpstr>
      <vt:lpstr>Labour!Print_Titles</vt:lpstr>
      <vt:lpstr>'Material details'!Print_Titles</vt:lpstr>
      <vt:lpstr>'Other material '!Print_Titles</vt:lpstr>
      <vt:lpstr>P.O.L!Print_Titles</vt:lpstr>
      <vt:lpstr>TMT!Print_Titles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User-05</dc:creator>
  <cp:lastModifiedBy>Prashant Akashe</cp:lastModifiedBy>
  <cp:lastPrinted>2025-11-18T10:29:06Z</cp:lastPrinted>
  <dcterms:created xsi:type="dcterms:W3CDTF">2012-04-06T09:20:13Z</dcterms:created>
  <dcterms:modified xsi:type="dcterms:W3CDTF">2025-11-26T04:32:08Z</dcterms:modified>
</cp:coreProperties>
</file>